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Data_Analyst_Projets\Projet 2\"/>
    </mc:Choice>
  </mc:AlternateContent>
  <xr:revisionPtr revIDLastSave="0" documentId="13_ncr:1_{1EDA0BB6-4C54-4AA9-B4DF-EAF2CCC4ADCA}" xr6:coauthVersionLast="47" xr6:coauthVersionMax="47" xr10:uidLastSave="{00000000-0000-0000-0000-000000000000}"/>
  <bookViews>
    <workbookView xWindow="-110" yWindow="-110" windowWidth="19420" windowHeight="11020" xr2:uid="{7B0DC668-4FCA-471F-9FA1-168E0BEB1F39}"/>
  </bookViews>
  <sheets>
    <sheet name="Tableau de bord " sheetId="7" r:id="rId1"/>
    <sheet name="Traitements" sheetId="6" r:id="rId2"/>
    <sheet name="Opérations" sheetId="1" r:id="rId3"/>
    <sheet name="Sorties" sheetId="4" r:id="rId4"/>
    <sheet name="Marchandises" sheetId="2" r:id="rId5"/>
    <sheet name="Entrées" sheetId="3" r:id="rId6"/>
    <sheet name="Inventaires" sheetId="5" r:id="rId7"/>
  </sheets>
  <definedNames>
    <definedName name="_xlnm._FilterDatabase" localSheetId="6" hidden="1">Inventaires!$C$5:$N$107</definedName>
    <definedName name="_xlcn.WorksheetConnection_GestiondestockExcelAvancé.xlsmListeE1" hidden="1">ListeE[]</definedName>
    <definedName name="_xlcn.WorksheetConnection_GestiondestockExcelAvancé.xlsmListeS1" hidden="1">ListeS[]</definedName>
    <definedName name="_xlcn.WorksheetConnection_GestiondestockExcelAvancé.xlsmTableauC1" hidden="1">TableauC[]</definedName>
    <definedName name="_xlcn.WorksheetConnection_GestiondestockExcelAvancé.xlsmTableauR1" hidden="1">TableauR[]</definedName>
    <definedName name="Segment_Catégorie">#N/A</definedName>
  </definedNames>
  <calcPr calcId="191029"/>
  <pivotCaches>
    <pivotCache cacheId="24" r:id="rId8"/>
    <pivotCache cacheId="33" r:id="rId9"/>
    <pivotCache cacheId="36" r:id="rId10"/>
    <pivotCache cacheId="128" r:id="rId11"/>
    <pivotCache cacheId="168" r:id="rId12"/>
    <pivotCache cacheId="172" r:id="rId13"/>
    <pivotCache cacheId="175" r:id="rId14"/>
    <pivotCache cacheId="178" r:id="rId15"/>
    <pivotCache cacheId="181" r:id="rId16"/>
    <pivotCache cacheId="184" r:id="rId17"/>
    <pivotCache cacheId="187" r:id="rId18"/>
    <pivotCache cacheId="190" r:id="rId19"/>
    <pivotCache cacheId="193" r:id="rId20"/>
  </pivotCaches>
  <extLst>
    <ext xmlns:x14="http://schemas.microsoft.com/office/spreadsheetml/2009/9/main" uri="{876F7934-8845-4945-9796-88D515C7AA90}">
      <x14:pivotCaches>
        <pivotCache cacheId="171" r:id="rId21"/>
      </x14:pivotCaches>
    </ext>
    <ext xmlns:x14="http://schemas.microsoft.com/office/spreadsheetml/2009/9/main" uri="{BBE1A952-AA13-448e-AADC-164F8A28A991}">
      <x14:slicerCaches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R" name="TableauR" connection="WorksheetConnection_Gestion de stock  - Excel Avancé.xlsm!TableauR"/>
          <x15:modelTable id="TableauC" name="TableauC" connection="WorksheetConnection_Gestion de stock  - Excel Avancé.xlsm!TableauC"/>
          <x15:modelTable id="ListeS" name="ListeS" connection="WorksheetConnection_Gestion de stock  - Excel Avancé.xlsm!ListeS"/>
          <x15:modelTable id="ListeE" name="ListeE" connection="WorksheetConnection_Gestion de stock  - Excel Avancé.xlsm!ListeE"/>
        </x15:modelTables>
        <x15:modelRelationships>
          <x15:modelRelationship fromTable="ListeE" fromColumn="Catégorie" toTable="TableauC" toColumn="Catégorie"/>
          <x15:modelRelationship fromTable="ListeE" fromColumn="Référence" toTable="TableauR" toColumn="Référence"/>
          <x15:modelRelationship fromTable="ListeS" fromColumn="Référence" toTable="TableauR" toColumn="Référence"/>
          <x15:modelRelationship fromTable="ListeS" fromColumn="Catégorie" toTable="TableauC" toColumn="Catégori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steE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  <x16:modelTimeGrouping tableName="Liste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" i="3" l="1"/>
  <c r="K8" i="3"/>
  <c r="C6" i="5" a="1"/>
  <c r="C6" i="5" s="1"/>
  <c r="K9" i="3"/>
  <c r="K10" i="3"/>
  <c r="K11" i="3"/>
  <c r="K12" i="3"/>
  <c r="K13" i="3"/>
  <c r="K14" i="3"/>
  <c r="K7" i="4"/>
  <c r="K8" i="4"/>
  <c r="K9" i="4"/>
  <c r="K10" i="4"/>
  <c r="K11" i="4"/>
  <c r="K12" i="4"/>
  <c r="K13" i="4"/>
  <c r="K14" i="4"/>
  <c r="K15" i="4"/>
  <c r="C132" i="6" a="1"/>
  <c r="C132" i="6" s="1"/>
  <c r="K16" i="4"/>
  <c r="K17" i="4"/>
  <c r="K18" i="4"/>
  <c r="D89" i="6" a="1"/>
  <c r="D89" i="6" s="1"/>
  <c r="E89" i="6" s="1"/>
  <c r="D79" i="6" a="1"/>
  <c r="D79" i="6" s="1"/>
  <c r="E79" i="6" s="1"/>
  <c r="K19" i="4"/>
  <c r="K20" i="4"/>
  <c r="K21" i="4"/>
  <c r="K15" i="3"/>
  <c r="K16" i="3"/>
  <c r="K17" i="3"/>
  <c r="K22" i="4"/>
  <c r="K18" i="3"/>
  <c r="K19" i="3"/>
  <c r="K20" i="3"/>
  <c r="K21" i="3"/>
  <c r="K22" i="3"/>
  <c r="K23" i="4"/>
  <c r="K23" i="3"/>
  <c r="K24" i="4"/>
  <c r="K25" i="4"/>
  <c r="K26" i="4"/>
  <c r="K27" i="4"/>
  <c r="F6" i="5" l="1"/>
  <c r="G6" i="5"/>
  <c r="H6" i="5"/>
  <c r="I6" i="5"/>
  <c r="J6" i="5"/>
  <c r="D6" i="5"/>
  <c r="E6" i="5"/>
  <c r="E93" i="6"/>
  <c r="E92" i="6"/>
  <c r="E91" i="6"/>
  <c r="E90" i="6"/>
  <c r="E84" i="6"/>
  <c r="E83" i="6"/>
  <c r="E82" i="6"/>
  <c r="E81" i="6"/>
  <c r="E80" i="6"/>
  <c r="J7" i="5"/>
  <c r="J10" i="5"/>
  <c r="J11" i="5"/>
  <c r="J12" i="5"/>
  <c r="J13" i="5"/>
  <c r="J14" i="5"/>
  <c r="J15" i="5"/>
  <c r="J18" i="5"/>
  <c r="J19" i="5"/>
  <c r="J22" i="5"/>
  <c r="J23" i="5"/>
  <c r="J24" i="5"/>
  <c r="J25" i="5"/>
  <c r="J26" i="5"/>
  <c r="J27" i="5"/>
  <c r="J29" i="5"/>
  <c r="J30" i="5"/>
  <c r="J31" i="5"/>
  <c r="J34" i="5"/>
  <c r="J35" i="5"/>
  <c r="J36" i="5"/>
  <c r="J37" i="5"/>
  <c r="J38" i="5"/>
  <c r="J39" i="5"/>
  <c r="J41" i="5"/>
  <c r="J42" i="5"/>
  <c r="J43" i="5"/>
  <c r="J46" i="5"/>
  <c r="J47" i="5"/>
  <c r="J48" i="5"/>
  <c r="J49" i="5"/>
  <c r="J50" i="5"/>
  <c r="J51" i="5"/>
  <c r="J53" i="5"/>
  <c r="J54" i="5"/>
  <c r="J55" i="5"/>
  <c r="J58" i="5"/>
  <c r="J59" i="5"/>
  <c r="J60" i="5"/>
  <c r="J61" i="5"/>
  <c r="J62" i="5"/>
  <c r="J63" i="5"/>
  <c r="J65" i="5"/>
  <c r="J66" i="5"/>
  <c r="J67" i="5"/>
  <c r="J70" i="5"/>
  <c r="J71" i="5"/>
  <c r="J72" i="5"/>
  <c r="J73" i="5"/>
  <c r="J74" i="5"/>
  <c r="J75" i="5"/>
  <c r="J77" i="5"/>
  <c r="J78" i="5"/>
  <c r="J79" i="5"/>
  <c r="J82" i="5"/>
  <c r="J83" i="5"/>
  <c r="J84" i="5"/>
  <c r="J85" i="5"/>
  <c r="J86" i="5"/>
  <c r="J87" i="5"/>
  <c r="J89" i="5"/>
  <c r="J90" i="5"/>
  <c r="J91" i="5"/>
  <c r="J94" i="5"/>
  <c r="J95" i="5"/>
  <c r="J96" i="5"/>
  <c r="J97" i="5"/>
  <c r="J98" i="5"/>
  <c r="J99" i="5"/>
  <c r="J101" i="5"/>
  <c r="J102" i="5"/>
  <c r="J103" i="5"/>
  <c r="J106" i="5"/>
  <c r="J107" i="5"/>
  <c r="K24" i="3"/>
  <c r="I7" i="5"/>
  <c r="I8" i="5"/>
  <c r="I9" i="5"/>
  <c r="I10" i="5"/>
  <c r="I11" i="5"/>
  <c r="I14" i="5"/>
  <c r="I15" i="5"/>
  <c r="I16" i="5"/>
  <c r="I17" i="5"/>
  <c r="I18" i="5"/>
  <c r="I19" i="5"/>
  <c r="I20" i="5"/>
  <c r="I21" i="5"/>
  <c r="I22" i="5"/>
  <c r="I23" i="5"/>
  <c r="I26" i="5"/>
  <c r="I27" i="5"/>
  <c r="I28" i="5"/>
  <c r="I29" i="5"/>
  <c r="I30" i="5"/>
  <c r="I31" i="5"/>
  <c r="I32" i="5"/>
  <c r="I33" i="5"/>
  <c r="I34" i="5"/>
  <c r="I35" i="5"/>
  <c r="I38" i="5"/>
  <c r="I39" i="5"/>
  <c r="I40" i="5"/>
  <c r="I41" i="5"/>
  <c r="I42" i="5"/>
  <c r="I43" i="5"/>
  <c r="I44" i="5"/>
  <c r="I45" i="5"/>
  <c r="I46" i="5"/>
  <c r="I47" i="5"/>
  <c r="I50" i="5"/>
  <c r="I51" i="5"/>
  <c r="I52" i="5"/>
  <c r="I53" i="5"/>
  <c r="I54" i="5"/>
  <c r="I55" i="5"/>
  <c r="I56" i="5"/>
  <c r="I57" i="5"/>
  <c r="I58" i="5"/>
  <c r="I59" i="5"/>
  <c r="I62" i="5"/>
  <c r="I63" i="5"/>
  <c r="I64" i="5"/>
  <c r="I65" i="5"/>
  <c r="I66" i="5"/>
  <c r="I67" i="5"/>
  <c r="I68" i="5"/>
  <c r="I69" i="5"/>
  <c r="I70" i="5"/>
  <c r="I71" i="5"/>
  <c r="I74" i="5"/>
  <c r="I75" i="5"/>
  <c r="I76" i="5"/>
  <c r="I77" i="5"/>
  <c r="I78" i="5"/>
  <c r="I79" i="5"/>
  <c r="I80" i="5"/>
  <c r="I81" i="5"/>
  <c r="I82" i="5"/>
  <c r="I83" i="5"/>
  <c r="I86" i="5"/>
  <c r="I87" i="5"/>
  <c r="I88" i="5"/>
  <c r="I89" i="5"/>
  <c r="I90" i="5"/>
  <c r="I91" i="5"/>
  <c r="I92" i="5"/>
  <c r="I93" i="5"/>
  <c r="I94" i="5"/>
  <c r="I95" i="5"/>
  <c r="I98" i="5"/>
  <c r="I99" i="5"/>
  <c r="I100" i="5"/>
  <c r="I101" i="5"/>
  <c r="I102" i="5"/>
  <c r="I103" i="5"/>
  <c r="I104" i="5"/>
  <c r="I105" i="5"/>
  <c r="I106" i="5"/>
  <c r="I107" i="5"/>
  <c r="H9" i="5"/>
  <c r="H10" i="5"/>
  <c r="H11" i="5"/>
  <c r="H12" i="5"/>
  <c r="H13" i="5"/>
  <c r="H14" i="5"/>
  <c r="H15" i="5"/>
  <c r="H16" i="5"/>
  <c r="H17" i="5"/>
  <c r="H18" i="5"/>
  <c r="H21" i="5"/>
  <c r="H22" i="5"/>
  <c r="H23" i="5"/>
  <c r="H24" i="5"/>
  <c r="H25" i="5"/>
  <c r="H26" i="5"/>
  <c r="H27" i="5"/>
  <c r="H28" i="5"/>
  <c r="H29" i="5"/>
  <c r="H30" i="5"/>
  <c r="H33" i="5"/>
  <c r="H34" i="5"/>
  <c r="H35" i="5"/>
  <c r="H36" i="5"/>
  <c r="H37" i="5"/>
  <c r="H38" i="5"/>
  <c r="H39" i="5"/>
  <c r="H40" i="5"/>
  <c r="H41" i="5"/>
  <c r="H42" i="5"/>
  <c r="H45" i="5"/>
  <c r="H46" i="5"/>
  <c r="H47" i="5"/>
  <c r="H48" i="5"/>
  <c r="H49" i="5"/>
  <c r="H50" i="5"/>
  <c r="H51" i="5"/>
  <c r="H52" i="5"/>
  <c r="H53" i="5"/>
  <c r="H54" i="5"/>
  <c r="H57" i="5"/>
  <c r="H58" i="5"/>
  <c r="H59" i="5"/>
  <c r="H60" i="5"/>
  <c r="H61" i="5"/>
  <c r="H62" i="5"/>
  <c r="H63" i="5"/>
  <c r="H64" i="5"/>
  <c r="H65" i="5"/>
  <c r="H66" i="5"/>
  <c r="H69" i="5"/>
  <c r="H70" i="5"/>
  <c r="H71" i="5"/>
  <c r="H72" i="5"/>
  <c r="H73" i="5"/>
  <c r="H74" i="5"/>
  <c r="H75" i="5"/>
  <c r="H76" i="5"/>
  <c r="H77" i="5"/>
  <c r="H78" i="5"/>
  <c r="H81" i="5"/>
  <c r="H82" i="5"/>
  <c r="H83" i="5"/>
  <c r="H84" i="5"/>
  <c r="H85" i="5"/>
  <c r="H86" i="5"/>
  <c r="H87" i="5"/>
  <c r="H88" i="5"/>
  <c r="H89" i="5"/>
  <c r="H90" i="5"/>
  <c r="H93" i="5"/>
  <c r="H94" i="5"/>
  <c r="H95" i="5"/>
  <c r="H96" i="5"/>
  <c r="H97" i="5"/>
  <c r="H98" i="5"/>
  <c r="H99" i="5"/>
  <c r="H100" i="5"/>
  <c r="H101" i="5"/>
  <c r="H102" i="5"/>
  <c r="H105" i="5"/>
  <c r="H106" i="5"/>
  <c r="H107" i="5"/>
  <c r="G7" i="5"/>
  <c r="G8" i="5"/>
  <c r="G9" i="5"/>
  <c r="G10" i="5"/>
  <c r="G11" i="5"/>
  <c r="G12" i="5"/>
  <c r="G13" i="5"/>
  <c r="G16" i="5"/>
  <c r="G17" i="5"/>
  <c r="G18" i="5"/>
  <c r="G19" i="5"/>
  <c r="G20" i="5"/>
  <c r="G21" i="5"/>
  <c r="G22" i="5"/>
  <c r="G23" i="5"/>
  <c r="G24" i="5"/>
  <c r="G25" i="5"/>
  <c r="G28" i="5"/>
  <c r="G29" i="5"/>
  <c r="G30" i="5"/>
  <c r="G31" i="5"/>
  <c r="G32" i="5"/>
  <c r="G33" i="5"/>
  <c r="G34" i="5"/>
  <c r="G35" i="5"/>
  <c r="G36" i="5"/>
  <c r="G37" i="5"/>
  <c r="G40" i="5"/>
  <c r="G41" i="5"/>
  <c r="G42" i="5"/>
  <c r="G43" i="5"/>
  <c r="G44" i="5"/>
  <c r="G45" i="5"/>
  <c r="G46" i="5"/>
  <c r="G47" i="5"/>
  <c r="G48" i="5"/>
  <c r="G49" i="5"/>
  <c r="G52" i="5"/>
  <c r="G53" i="5"/>
  <c r="G54" i="5"/>
  <c r="G55" i="5"/>
  <c r="G56" i="5"/>
  <c r="G57" i="5"/>
  <c r="G58" i="5"/>
  <c r="G59" i="5"/>
  <c r="G60" i="5"/>
  <c r="G61" i="5"/>
  <c r="G64" i="5"/>
  <c r="G65" i="5"/>
  <c r="G66" i="5"/>
  <c r="G67" i="5"/>
  <c r="G68" i="5"/>
  <c r="G69" i="5"/>
  <c r="G70" i="5"/>
  <c r="G71" i="5"/>
  <c r="G72" i="5"/>
  <c r="G73" i="5"/>
  <c r="G76" i="5"/>
  <c r="G77" i="5"/>
  <c r="G78" i="5"/>
  <c r="G79" i="5"/>
  <c r="G80" i="5"/>
  <c r="G81" i="5"/>
  <c r="G82" i="5"/>
  <c r="G83" i="5"/>
  <c r="G84" i="5"/>
  <c r="G85" i="5"/>
  <c r="G88" i="5"/>
  <c r="G89" i="5"/>
  <c r="G90" i="5"/>
  <c r="G91" i="5"/>
  <c r="G92" i="5"/>
  <c r="G93" i="5"/>
  <c r="G94" i="5"/>
  <c r="G95" i="5"/>
  <c r="G96" i="5"/>
  <c r="G97" i="5"/>
  <c r="G100" i="5"/>
  <c r="G101" i="5"/>
  <c r="G102" i="5"/>
  <c r="G103" i="5"/>
  <c r="G104" i="5"/>
  <c r="G105" i="5"/>
  <c r="G106" i="5"/>
  <c r="G107" i="5"/>
  <c r="F7" i="5"/>
  <c r="F8" i="5"/>
  <c r="F11" i="5"/>
  <c r="F12" i="5"/>
  <c r="F13" i="5"/>
  <c r="F14" i="5"/>
  <c r="F15" i="5"/>
  <c r="F16" i="5"/>
  <c r="F17" i="5"/>
  <c r="F18" i="5"/>
  <c r="F19" i="5"/>
  <c r="F20" i="5"/>
  <c r="F23" i="5"/>
  <c r="F24" i="5"/>
  <c r="F25" i="5"/>
  <c r="F26" i="5"/>
  <c r="F27" i="5"/>
  <c r="F28" i="5"/>
  <c r="F29" i="5"/>
  <c r="F30" i="5"/>
  <c r="F31" i="5"/>
  <c r="F32" i="5"/>
  <c r="F35" i="5"/>
  <c r="F36" i="5"/>
  <c r="F37" i="5"/>
  <c r="F38" i="5"/>
  <c r="F39" i="5"/>
  <c r="F40" i="5"/>
  <c r="F41" i="5"/>
  <c r="F42" i="5"/>
  <c r="F43" i="5"/>
  <c r="F44" i="5"/>
  <c r="F47" i="5"/>
  <c r="F48" i="5"/>
  <c r="F49" i="5"/>
  <c r="F50" i="5"/>
  <c r="F51" i="5"/>
  <c r="F52" i="5"/>
  <c r="F53" i="5"/>
  <c r="F54" i="5"/>
  <c r="F55" i="5"/>
  <c r="F56" i="5"/>
  <c r="F59" i="5"/>
  <c r="F60" i="5"/>
  <c r="F61" i="5"/>
  <c r="F62" i="5"/>
  <c r="F63" i="5"/>
  <c r="F64" i="5"/>
  <c r="F65" i="5"/>
  <c r="F66" i="5"/>
  <c r="F67" i="5"/>
  <c r="F68" i="5"/>
  <c r="F71" i="5"/>
  <c r="F72" i="5"/>
  <c r="F73" i="5"/>
  <c r="F74" i="5"/>
  <c r="F75" i="5"/>
  <c r="F76" i="5"/>
  <c r="F77" i="5"/>
  <c r="F78" i="5"/>
  <c r="F79" i="5"/>
  <c r="F80" i="5"/>
  <c r="F83" i="5"/>
  <c r="F84" i="5"/>
  <c r="F85" i="5"/>
  <c r="F86" i="5"/>
  <c r="F87" i="5"/>
  <c r="F88" i="5"/>
  <c r="F89" i="5"/>
  <c r="F90" i="5"/>
  <c r="F91" i="5"/>
  <c r="F92" i="5"/>
  <c r="F95" i="5"/>
  <c r="F96" i="5"/>
  <c r="F97" i="5"/>
  <c r="F98" i="5"/>
  <c r="F99" i="5"/>
  <c r="F100" i="5"/>
  <c r="F101" i="5"/>
  <c r="F102" i="5"/>
  <c r="F103" i="5"/>
  <c r="F104" i="5"/>
  <c r="F107" i="5"/>
  <c r="E7" i="5"/>
  <c r="E8" i="5"/>
  <c r="E9" i="5"/>
  <c r="E10" i="5"/>
  <c r="E11" i="5"/>
  <c r="E12" i="5"/>
  <c r="E13" i="5"/>
  <c r="E14" i="5"/>
  <c r="E15" i="5"/>
  <c r="E18" i="5"/>
  <c r="E19" i="5"/>
  <c r="E20" i="5"/>
  <c r="E21" i="5"/>
  <c r="E22" i="5"/>
  <c r="E23" i="5"/>
  <c r="E24" i="5"/>
  <c r="E25" i="5"/>
  <c r="E26" i="5"/>
  <c r="E27" i="5"/>
  <c r="E30" i="5"/>
  <c r="E31" i="5"/>
  <c r="E32" i="5"/>
  <c r="E33" i="5"/>
  <c r="E34" i="5"/>
  <c r="E35" i="5"/>
  <c r="E36" i="5"/>
  <c r="E37" i="5"/>
  <c r="E38" i="5"/>
  <c r="E39" i="5"/>
  <c r="E42" i="5"/>
  <c r="E43" i="5"/>
  <c r="E44" i="5"/>
  <c r="E45" i="5"/>
  <c r="E46" i="5"/>
  <c r="E47" i="5"/>
  <c r="E48" i="5"/>
  <c r="E49" i="5"/>
  <c r="E50" i="5"/>
  <c r="E51" i="5"/>
  <c r="E54" i="5"/>
  <c r="E55" i="5"/>
  <c r="E56" i="5"/>
  <c r="E57" i="5"/>
  <c r="E58" i="5"/>
  <c r="E59" i="5"/>
  <c r="E60" i="5"/>
  <c r="E61" i="5"/>
  <c r="E62" i="5"/>
  <c r="E63" i="5"/>
  <c r="E66" i="5"/>
  <c r="E67" i="5"/>
  <c r="E68" i="5"/>
  <c r="E69" i="5"/>
  <c r="E70" i="5"/>
  <c r="E71" i="5"/>
  <c r="E72" i="5"/>
  <c r="E73" i="5"/>
  <c r="E74" i="5"/>
  <c r="E75" i="5"/>
  <c r="E78" i="5"/>
  <c r="E79" i="5"/>
  <c r="E80" i="5"/>
  <c r="E81" i="5"/>
  <c r="E82" i="5"/>
  <c r="E83" i="5"/>
  <c r="E84" i="5"/>
  <c r="E85" i="5"/>
  <c r="E86" i="5"/>
  <c r="E87" i="5"/>
  <c r="E90" i="5"/>
  <c r="E91" i="5"/>
  <c r="E92" i="5"/>
  <c r="E93" i="5"/>
  <c r="E94" i="5"/>
  <c r="E95" i="5"/>
  <c r="E96" i="5"/>
  <c r="E97" i="5"/>
  <c r="E98" i="5"/>
  <c r="E99" i="5"/>
  <c r="E102" i="5"/>
  <c r="E103" i="5"/>
  <c r="E104" i="5"/>
  <c r="E105" i="5"/>
  <c r="E106" i="5"/>
  <c r="E107" i="5"/>
  <c r="D7" i="5"/>
  <c r="D8" i="5"/>
  <c r="D9" i="5"/>
  <c r="D10" i="5"/>
  <c r="D13" i="5"/>
  <c r="D14" i="5"/>
  <c r="D15" i="5"/>
  <c r="D16" i="5"/>
  <c r="D17" i="5"/>
  <c r="D18" i="5"/>
  <c r="D19" i="5"/>
  <c r="D20" i="5"/>
  <c r="D21" i="5"/>
  <c r="D22" i="5"/>
  <c r="D25" i="5"/>
  <c r="D26" i="5"/>
  <c r="D27" i="5"/>
  <c r="D28" i="5"/>
  <c r="D29" i="5"/>
  <c r="D30" i="5"/>
  <c r="D31" i="5"/>
  <c r="D32" i="5"/>
  <c r="D33" i="5"/>
  <c r="D34" i="5"/>
  <c r="D37" i="5"/>
  <c r="D38" i="5"/>
  <c r="D39" i="5"/>
  <c r="D40" i="5"/>
  <c r="D41" i="5"/>
  <c r="D42" i="5"/>
  <c r="D43" i="5"/>
  <c r="D44" i="5"/>
  <c r="D45" i="5"/>
  <c r="D46" i="5"/>
  <c r="D49" i="5"/>
  <c r="D50" i="5"/>
  <c r="D51" i="5"/>
  <c r="D52" i="5"/>
  <c r="D53" i="5"/>
  <c r="D54" i="5"/>
  <c r="D55" i="5"/>
  <c r="D56" i="5"/>
  <c r="D57" i="5"/>
  <c r="D58" i="5"/>
  <c r="D61" i="5"/>
  <c r="D62" i="5"/>
  <c r="D63" i="5"/>
  <c r="D64" i="5"/>
  <c r="D65" i="5"/>
  <c r="D66" i="5"/>
  <c r="D67" i="5"/>
  <c r="D68" i="5"/>
  <c r="D69" i="5"/>
  <c r="D70" i="5"/>
  <c r="D73" i="5"/>
  <c r="D74" i="5"/>
  <c r="D75" i="5"/>
  <c r="D76" i="5"/>
  <c r="D77" i="5"/>
  <c r="D78" i="5"/>
  <c r="D79" i="5"/>
  <c r="D80" i="5"/>
  <c r="D81" i="5"/>
  <c r="D82" i="5"/>
  <c r="D85" i="5"/>
  <c r="D86" i="5"/>
  <c r="D87" i="5"/>
  <c r="D88" i="5"/>
  <c r="D89" i="5"/>
  <c r="D90" i="5"/>
  <c r="D91" i="5"/>
  <c r="D92" i="5"/>
  <c r="D93" i="5"/>
  <c r="D94" i="5"/>
  <c r="D97" i="5"/>
  <c r="D98" i="5"/>
  <c r="D99" i="5"/>
  <c r="D100" i="5"/>
  <c r="D101" i="5"/>
  <c r="D102" i="5"/>
  <c r="D103" i="5"/>
  <c r="D104" i="5"/>
  <c r="D105" i="5"/>
  <c r="D106" i="5"/>
  <c r="K28" i="4"/>
  <c r="K29" i="4"/>
  <c r="K25" i="3"/>
  <c r="K26" i="3"/>
  <c r="K27" i="3"/>
  <c r="K28" i="3"/>
  <c r="K30" i="4"/>
  <c r="K29" i="3"/>
  <c r="K30" i="3"/>
  <c r="K31" i="3"/>
  <c r="K32" i="3"/>
  <c r="K33" i="3"/>
  <c r="H10" i="1"/>
  <c r="H16" i="1" s="1"/>
  <c r="F10" i="1"/>
  <c r="F13" i="1"/>
  <c r="F16" i="1"/>
  <c r="H7" i="1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8" i="2"/>
  <c r="J16" i="2"/>
  <c r="J17" i="2"/>
  <c r="H10" i="2"/>
  <c r="L6" i="5" l="1"/>
  <c r="K6" i="5"/>
  <c r="N6" i="5" s="1"/>
  <c r="F81" i="6"/>
  <c r="F91" i="6"/>
  <c r="F90" i="6"/>
  <c r="F92" i="6"/>
  <c r="F93" i="6"/>
  <c r="F89" i="6"/>
  <c r="F83" i="6"/>
  <c r="F80" i="6"/>
  <c r="F82" i="6"/>
  <c r="F84" i="6"/>
  <c r="F79" i="6"/>
  <c r="L66" i="5"/>
  <c r="K34" i="5"/>
  <c r="K63" i="5"/>
  <c r="K77" i="5"/>
  <c r="K29" i="5"/>
  <c r="K46" i="5"/>
  <c r="L90" i="5"/>
  <c r="L102" i="5"/>
  <c r="L30" i="5"/>
  <c r="L54" i="5"/>
  <c r="K98" i="5"/>
  <c r="K50" i="5"/>
  <c r="K18" i="5"/>
  <c r="K94" i="5"/>
  <c r="K78" i="5"/>
  <c r="K62" i="5"/>
  <c r="K47" i="5"/>
  <c r="K30" i="5"/>
  <c r="K83" i="5"/>
  <c r="K35" i="5"/>
  <c r="K66" i="5"/>
  <c r="K82" i="5"/>
  <c r="K65" i="5"/>
  <c r="K15" i="5"/>
  <c r="K14" i="5"/>
  <c r="K95" i="5"/>
  <c r="K75" i="5"/>
  <c r="K27" i="5"/>
  <c r="K11" i="5"/>
  <c r="K107" i="5"/>
  <c r="K90" i="5"/>
  <c r="K74" i="5"/>
  <c r="K59" i="5"/>
  <c r="K42" i="5"/>
  <c r="K26" i="5"/>
  <c r="K10" i="5"/>
  <c r="K106" i="5"/>
  <c r="K89" i="5"/>
  <c r="K58" i="5"/>
  <c r="K41" i="5"/>
  <c r="K87" i="5"/>
  <c r="K39" i="5"/>
  <c r="K102" i="5"/>
  <c r="K86" i="5"/>
  <c r="K71" i="5"/>
  <c r="K54" i="5"/>
  <c r="K38" i="5"/>
  <c r="K23" i="5"/>
  <c r="L42" i="5"/>
  <c r="K101" i="5"/>
  <c r="K70" i="5"/>
  <c r="K53" i="5"/>
  <c r="K22" i="5"/>
  <c r="K99" i="5"/>
  <c r="K51" i="5"/>
  <c r="L99" i="5"/>
  <c r="L38" i="5"/>
  <c r="L98" i="5"/>
  <c r="L78" i="5"/>
  <c r="L59" i="5"/>
  <c r="L75" i="5"/>
  <c r="L74" i="5"/>
  <c r="L35" i="5"/>
  <c r="L95" i="5"/>
  <c r="L51" i="5"/>
  <c r="L50" i="5"/>
  <c r="L71" i="5"/>
  <c r="L27" i="5"/>
  <c r="L87" i="5"/>
  <c r="L26" i="5"/>
  <c r="L86" i="5"/>
  <c r="L47" i="5"/>
  <c r="L107" i="5"/>
  <c r="L63" i="5"/>
  <c r="L62" i="5"/>
  <c r="L23" i="5"/>
  <c r="L83" i="5"/>
  <c r="L39" i="5"/>
  <c r="L18" i="5"/>
  <c r="J17" i="5"/>
  <c r="K17" i="5" s="1"/>
  <c r="L101" i="5"/>
  <c r="L89" i="5"/>
  <c r="L77" i="5"/>
  <c r="L65" i="5"/>
  <c r="L53" i="5"/>
  <c r="L41" i="5"/>
  <c r="L29" i="5"/>
  <c r="L17" i="5"/>
  <c r="J100" i="5"/>
  <c r="K100" i="5" s="1"/>
  <c r="J88" i="5"/>
  <c r="K88" i="5" s="1"/>
  <c r="J76" i="5"/>
  <c r="K76" i="5" s="1"/>
  <c r="J64" i="5"/>
  <c r="K64" i="5" s="1"/>
  <c r="J52" i="5"/>
  <c r="K52" i="5" s="1"/>
  <c r="J40" i="5"/>
  <c r="K40" i="5" s="1"/>
  <c r="J28" i="5"/>
  <c r="K28" i="5" s="1"/>
  <c r="J16" i="5"/>
  <c r="K16" i="5" s="1"/>
  <c r="L100" i="5"/>
  <c r="L88" i="5"/>
  <c r="L76" i="5"/>
  <c r="L64" i="5"/>
  <c r="L52" i="5"/>
  <c r="L40" i="5"/>
  <c r="L28" i="5"/>
  <c r="L16" i="5"/>
  <c r="L15" i="5"/>
  <c r="L14" i="5"/>
  <c r="L11" i="5"/>
  <c r="L10" i="5"/>
  <c r="D96" i="5"/>
  <c r="D84" i="5"/>
  <c r="D72" i="5"/>
  <c r="D60" i="5"/>
  <c r="D48" i="5"/>
  <c r="D36" i="5"/>
  <c r="D24" i="5"/>
  <c r="D12" i="5"/>
  <c r="E101" i="5"/>
  <c r="E89" i="5"/>
  <c r="E77" i="5"/>
  <c r="E65" i="5"/>
  <c r="E53" i="5"/>
  <c r="E41" i="5"/>
  <c r="E29" i="5"/>
  <c r="E17" i="5"/>
  <c r="F106" i="5"/>
  <c r="F94" i="5"/>
  <c r="F82" i="5"/>
  <c r="F70" i="5"/>
  <c r="F58" i="5"/>
  <c r="F46" i="5"/>
  <c r="F34" i="5"/>
  <c r="F22" i="5"/>
  <c r="F10" i="5"/>
  <c r="G99" i="5"/>
  <c r="G87" i="5"/>
  <c r="G75" i="5"/>
  <c r="G63" i="5"/>
  <c r="G51" i="5"/>
  <c r="G39" i="5"/>
  <c r="G27" i="5"/>
  <c r="G15" i="5"/>
  <c r="H104" i="5"/>
  <c r="L104" i="5" s="1"/>
  <c r="H92" i="5"/>
  <c r="L92" i="5" s="1"/>
  <c r="H80" i="5"/>
  <c r="L80" i="5" s="1"/>
  <c r="H68" i="5"/>
  <c r="L68" i="5" s="1"/>
  <c r="H56" i="5"/>
  <c r="L56" i="5" s="1"/>
  <c r="H44" i="5"/>
  <c r="L44" i="5" s="1"/>
  <c r="H32" i="5"/>
  <c r="L32" i="5" s="1"/>
  <c r="H20" i="5"/>
  <c r="H8" i="5"/>
  <c r="I97" i="5"/>
  <c r="L97" i="5" s="1"/>
  <c r="I85" i="5"/>
  <c r="L85" i="5" s="1"/>
  <c r="I73" i="5"/>
  <c r="L73" i="5" s="1"/>
  <c r="I61" i="5"/>
  <c r="K61" i="5" s="1"/>
  <c r="I49" i="5"/>
  <c r="K49" i="5" s="1"/>
  <c r="I37" i="5"/>
  <c r="L37" i="5" s="1"/>
  <c r="I25" i="5"/>
  <c r="L25" i="5" s="1"/>
  <c r="I13" i="5"/>
  <c r="K13" i="5" s="1"/>
  <c r="J105" i="5"/>
  <c r="K105" i="5" s="1"/>
  <c r="J93" i="5"/>
  <c r="K93" i="5" s="1"/>
  <c r="J81" i="5"/>
  <c r="K81" i="5" s="1"/>
  <c r="J69" i="5"/>
  <c r="K69" i="5" s="1"/>
  <c r="J57" i="5"/>
  <c r="K57" i="5" s="1"/>
  <c r="J45" i="5"/>
  <c r="K45" i="5" s="1"/>
  <c r="J33" i="5"/>
  <c r="K33" i="5" s="1"/>
  <c r="J21" i="5"/>
  <c r="K21" i="5" s="1"/>
  <c r="J9" i="5"/>
  <c r="K9" i="5" s="1"/>
  <c r="L105" i="5"/>
  <c r="L93" i="5"/>
  <c r="L81" i="5"/>
  <c r="L69" i="5"/>
  <c r="L57" i="5"/>
  <c r="L45" i="5"/>
  <c r="L33" i="5"/>
  <c r="L21" i="5"/>
  <c r="L9" i="5"/>
  <c r="L106" i="5"/>
  <c r="L94" i="5"/>
  <c r="L82" i="5"/>
  <c r="L70" i="5"/>
  <c r="L58" i="5"/>
  <c r="L46" i="5"/>
  <c r="L34" i="5"/>
  <c r="L22" i="5"/>
  <c r="D107" i="5"/>
  <c r="D95" i="5"/>
  <c r="D83" i="5"/>
  <c r="D71" i="5"/>
  <c r="D59" i="5"/>
  <c r="D47" i="5"/>
  <c r="D35" i="5"/>
  <c r="D23" i="5"/>
  <c r="D11" i="5"/>
  <c r="E100" i="5"/>
  <c r="E88" i="5"/>
  <c r="E76" i="5"/>
  <c r="E64" i="5"/>
  <c r="E52" i="5"/>
  <c r="E40" i="5"/>
  <c r="E28" i="5"/>
  <c r="E16" i="5"/>
  <c r="F105" i="5"/>
  <c r="F93" i="5"/>
  <c r="F81" i="5"/>
  <c r="F69" i="5"/>
  <c r="F57" i="5"/>
  <c r="F45" i="5"/>
  <c r="F33" i="5"/>
  <c r="F21" i="5"/>
  <c r="F9" i="5"/>
  <c r="G98" i="5"/>
  <c r="G86" i="5"/>
  <c r="G74" i="5"/>
  <c r="G62" i="5"/>
  <c r="G50" i="5"/>
  <c r="G38" i="5"/>
  <c r="G26" i="5"/>
  <c r="G14" i="5"/>
  <c r="H103" i="5"/>
  <c r="K103" i="5" s="1"/>
  <c r="H91" i="5"/>
  <c r="K91" i="5" s="1"/>
  <c r="H79" i="5"/>
  <c r="K79" i="5" s="1"/>
  <c r="H67" i="5"/>
  <c r="K67" i="5" s="1"/>
  <c r="H55" i="5"/>
  <c r="K55" i="5" s="1"/>
  <c r="H43" i="5"/>
  <c r="K43" i="5" s="1"/>
  <c r="H31" i="5"/>
  <c r="K31" i="5" s="1"/>
  <c r="H19" i="5"/>
  <c r="K19" i="5" s="1"/>
  <c r="H7" i="5"/>
  <c r="K7" i="5" s="1"/>
  <c r="I96" i="5"/>
  <c r="K96" i="5" s="1"/>
  <c r="I84" i="5"/>
  <c r="L84" i="5" s="1"/>
  <c r="I72" i="5"/>
  <c r="L72" i="5" s="1"/>
  <c r="I60" i="5"/>
  <c r="K60" i="5" s="1"/>
  <c r="I48" i="5"/>
  <c r="L48" i="5" s="1"/>
  <c r="I36" i="5"/>
  <c r="K36" i="5" s="1"/>
  <c r="I24" i="5"/>
  <c r="L24" i="5" s="1"/>
  <c r="I12" i="5"/>
  <c r="L12" i="5" s="1"/>
  <c r="J104" i="5"/>
  <c r="J92" i="5"/>
  <c r="J80" i="5"/>
  <c r="J68" i="5"/>
  <c r="J56" i="5"/>
  <c r="J44" i="5"/>
  <c r="J32" i="5"/>
  <c r="J20" i="5"/>
  <c r="J8" i="5"/>
  <c r="K8" i="5" l="1"/>
  <c r="M6" i="5"/>
  <c r="L7" i="5"/>
  <c r="M7" i="5" s="1"/>
  <c r="K104" i="5"/>
  <c r="N104" i="5" s="1"/>
  <c r="K20" i="5"/>
  <c r="N20" i="5" s="1"/>
  <c r="K32" i="5"/>
  <c r="N32" i="5" s="1"/>
  <c r="K56" i="5"/>
  <c r="N56" i="5" s="1"/>
  <c r="K80" i="5"/>
  <c r="N80" i="5" s="1"/>
  <c r="K68" i="5"/>
  <c r="N68" i="5" s="1"/>
  <c r="K92" i="5"/>
  <c r="N92" i="5" s="1"/>
  <c r="K44" i="5"/>
  <c r="M44" i="5" s="1"/>
  <c r="K25" i="5"/>
  <c r="N25" i="5" s="1"/>
  <c r="K48" i="5"/>
  <c r="M48" i="5" s="1"/>
  <c r="K84" i="5"/>
  <c r="M84" i="5" s="1"/>
  <c r="L13" i="5"/>
  <c r="M13" i="5" s="1"/>
  <c r="K73" i="5"/>
  <c r="N73" i="5" s="1"/>
  <c r="K37" i="5"/>
  <c r="N37" i="5" s="1"/>
  <c r="K24" i="5"/>
  <c r="M24" i="5" s="1"/>
  <c r="K85" i="5"/>
  <c r="M85" i="5" s="1"/>
  <c r="K12" i="5"/>
  <c r="M12" i="5" s="1"/>
  <c r="K97" i="5"/>
  <c r="N97" i="5" s="1"/>
  <c r="K72" i="5"/>
  <c r="N72" i="5" s="1"/>
  <c r="L61" i="5"/>
  <c r="M61" i="5" s="1"/>
  <c r="L103" i="5"/>
  <c r="M103" i="5" s="1"/>
  <c r="L49" i="5"/>
  <c r="M49" i="5" s="1"/>
  <c r="L79" i="5"/>
  <c r="M79" i="5" s="1"/>
  <c r="L91" i="5"/>
  <c r="M91" i="5" s="1"/>
  <c r="L8" i="5"/>
  <c r="M8" i="5" s="1"/>
  <c r="L60" i="5"/>
  <c r="M60" i="5" s="1"/>
  <c r="L43" i="5"/>
  <c r="M43" i="5" s="1"/>
  <c r="L36" i="5"/>
  <c r="M36" i="5" s="1"/>
  <c r="L31" i="5"/>
  <c r="M31" i="5" s="1"/>
  <c r="L20" i="5"/>
  <c r="L96" i="5"/>
  <c r="M96" i="5" s="1"/>
  <c r="L55" i="5"/>
  <c r="M55" i="5" s="1"/>
  <c r="L67" i="5"/>
  <c r="M67" i="5" s="1"/>
  <c r="L19" i="5"/>
  <c r="M19" i="5" s="1"/>
  <c r="N91" i="5"/>
  <c r="N49" i="5"/>
  <c r="N27" i="5"/>
  <c r="M27" i="5"/>
  <c r="N79" i="5"/>
  <c r="N57" i="5"/>
  <c r="M57" i="5"/>
  <c r="M58" i="5"/>
  <c r="N58" i="5"/>
  <c r="N88" i="5"/>
  <c r="M88" i="5"/>
  <c r="M35" i="5"/>
  <c r="N35" i="5"/>
  <c r="N19" i="5"/>
  <c r="N69" i="5"/>
  <c r="M69" i="5"/>
  <c r="N18" i="5"/>
  <c r="M18" i="5"/>
  <c r="N28" i="5"/>
  <c r="M28" i="5"/>
  <c r="M45" i="5"/>
  <c r="N45" i="5"/>
  <c r="N46" i="5"/>
  <c r="M46" i="5"/>
  <c r="N96" i="5"/>
  <c r="N53" i="5"/>
  <c r="M53" i="5"/>
  <c r="N105" i="5"/>
  <c r="M105" i="5"/>
  <c r="N36" i="5"/>
  <c r="N40" i="5"/>
  <c r="M40" i="5"/>
  <c r="N47" i="5"/>
  <c r="M47" i="5"/>
  <c r="N67" i="5"/>
  <c r="M75" i="5"/>
  <c r="N75" i="5"/>
  <c r="N31" i="5"/>
  <c r="N26" i="5"/>
  <c r="M26" i="5"/>
  <c r="M22" i="5"/>
  <c r="N22" i="5"/>
  <c r="N59" i="5"/>
  <c r="M59" i="5"/>
  <c r="N103" i="5"/>
  <c r="N21" i="5"/>
  <c r="M21" i="5"/>
  <c r="N41" i="5"/>
  <c r="M41" i="5"/>
  <c r="M95" i="5"/>
  <c r="N95" i="5"/>
  <c r="M16" i="5"/>
  <c r="N16" i="5"/>
  <c r="N29" i="5"/>
  <c r="M29" i="5"/>
  <c r="N74" i="5"/>
  <c r="M74" i="5"/>
  <c r="N15" i="5"/>
  <c r="M15" i="5"/>
  <c r="N54" i="5"/>
  <c r="M54" i="5"/>
  <c r="N94" i="5"/>
  <c r="M94" i="5"/>
  <c r="M65" i="5"/>
  <c r="N65" i="5"/>
  <c r="M66" i="5"/>
  <c r="N66" i="5"/>
  <c r="N52" i="5"/>
  <c r="M52" i="5"/>
  <c r="N14" i="5"/>
  <c r="M14" i="5"/>
  <c r="M90" i="5"/>
  <c r="N90" i="5"/>
  <c r="N64" i="5"/>
  <c r="M64" i="5"/>
  <c r="N106" i="5"/>
  <c r="M106" i="5"/>
  <c r="N13" i="5"/>
  <c r="M51" i="5"/>
  <c r="N51" i="5"/>
  <c r="N9" i="5"/>
  <c r="M9" i="5"/>
  <c r="N10" i="5"/>
  <c r="M10" i="5"/>
  <c r="M39" i="5"/>
  <c r="N39" i="5"/>
  <c r="N89" i="5"/>
  <c r="M89" i="5"/>
  <c r="N60" i="5"/>
  <c r="M76" i="5"/>
  <c r="N76" i="5"/>
  <c r="N11" i="5"/>
  <c r="M11" i="5"/>
  <c r="N38" i="5"/>
  <c r="M38" i="5"/>
  <c r="M30" i="5"/>
  <c r="N30" i="5"/>
  <c r="N7" i="5"/>
  <c r="N71" i="5"/>
  <c r="M71" i="5"/>
  <c r="M62" i="5"/>
  <c r="N62" i="5"/>
  <c r="N101" i="5"/>
  <c r="M101" i="5"/>
  <c r="M81" i="5"/>
  <c r="N81" i="5"/>
  <c r="N102" i="5"/>
  <c r="M102" i="5"/>
  <c r="M70" i="5"/>
  <c r="N70" i="5"/>
  <c r="N63" i="5"/>
  <c r="M63" i="5"/>
  <c r="N8" i="5"/>
  <c r="N107" i="5"/>
  <c r="M107" i="5"/>
  <c r="N98" i="5"/>
  <c r="M98" i="5"/>
  <c r="M99" i="5"/>
  <c r="N99" i="5"/>
  <c r="M100" i="5"/>
  <c r="N100" i="5"/>
  <c r="N42" i="5"/>
  <c r="M42" i="5"/>
  <c r="N55" i="5"/>
  <c r="M33" i="5"/>
  <c r="N33" i="5"/>
  <c r="M93" i="5"/>
  <c r="N93" i="5"/>
  <c r="N50" i="5"/>
  <c r="M50" i="5"/>
  <c r="N77" i="5"/>
  <c r="M77" i="5"/>
  <c r="N43" i="5"/>
  <c r="N34" i="5"/>
  <c r="M34" i="5"/>
  <c r="N82" i="5"/>
  <c r="M82" i="5"/>
  <c r="N23" i="5"/>
  <c r="M23" i="5"/>
  <c r="N83" i="5"/>
  <c r="M83" i="5"/>
  <c r="N61" i="5"/>
  <c r="N86" i="5"/>
  <c r="M86" i="5"/>
  <c r="N87" i="5"/>
  <c r="M87" i="5"/>
  <c r="M17" i="5"/>
  <c r="N17" i="5"/>
  <c r="N78" i="5"/>
  <c r="M78" i="5"/>
  <c r="M104" i="5" l="1"/>
  <c r="M80" i="5"/>
  <c r="M56" i="5"/>
  <c r="N44" i="5"/>
  <c r="M32" i="5"/>
  <c r="M20" i="5"/>
  <c r="M92" i="5"/>
  <c r="N48" i="5"/>
  <c r="M68" i="5"/>
  <c r="N84" i="5"/>
  <c r="M25" i="5"/>
  <c r="M73" i="5"/>
  <c r="M37" i="5"/>
  <c r="M97" i="5"/>
  <c r="N12" i="5"/>
  <c r="M72" i="5"/>
  <c r="N85" i="5"/>
  <c r="N2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60FE9E-D52C-4222-9601-0E7EDDBCAEE9}" keepAlive="1" name="Requête - Tableau3" description="Connexion à la requête « Tableau3 » dans le classeur." type="5" refreshedVersion="0" background="1">
    <dbPr connection="Provider=Microsoft.Mashup.OleDb.1;Data Source=$Workbook$;Location=Tableau3;Extended Properties=&quot;&quot;" command="SELECT * FROM [Tableau3]"/>
  </connection>
  <connection id="2" xr16:uid="{ADE65873-7048-40BE-805C-50409A23B06B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A1F48365-96F5-4A76-83B3-73D165E5E38C}" name="WorksheetConnection_Gestion de stock  - Excel Avancé.xlsm!ListeE" type="102" refreshedVersion="8" minRefreshableVersion="5">
    <extLst>
      <ext xmlns:x15="http://schemas.microsoft.com/office/spreadsheetml/2010/11/main" uri="{DE250136-89BD-433C-8126-D09CA5730AF9}">
        <x15:connection id="ListeE">
          <x15:rangePr sourceName="_xlcn.WorksheetConnection_GestiondestockExcelAvancé.xlsmListeE1"/>
        </x15:connection>
      </ext>
    </extLst>
  </connection>
  <connection id="4" xr16:uid="{954CF928-D73B-4E49-B8F1-F3F4DED9B1A0}" name="WorksheetConnection_Gestion de stock  - Excel Avancé.xlsm!ListeS" type="102" refreshedVersion="8" minRefreshableVersion="5">
    <extLst>
      <ext xmlns:x15="http://schemas.microsoft.com/office/spreadsheetml/2010/11/main" uri="{DE250136-89BD-433C-8126-D09CA5730AF9}">
        <x15:connection id="ListeS">
          <x15:rangePr sourceName="_xlcn.WorksheetConnection_GestiondestockExcelAvancé.xlsmListeS1"/>
        </x15:connection>
      </ext>
    </extLst>
  </connection>
  <connection id="5" xr16:uid="{9408AF59-A2F5-48B3-8217-70B544CE6F1D}" name="WorksheetConnection_Gestion de stock  - Excel Avancé.xlsm!TableauC" type="102" refreshedVersion="8" minRefreshableVersion="5">
    <extLst>
      <ext xmlns:x15="http://schemas.microsoft.com/office/spreadsheetml/2010/11/main" uri="{DE250136-89BD-433C-8126-D09CA5730AF9}">
        <x15:connection id="TableauC">
          <x15:rangePr sourceName="_xlcn.WorksheetConnection_GestiondestockExcelAvancé.xlsmTableauC1"/>
        </x15:connection>
      </ext>
    </extLst>
  </connection>
  <connection id="6" xr16:uid="{FCE903D4-8D72-4308-BEFD-9760DD594652}" name="WorksheetConnection_Gestion de stock  - Excel Avancé.xlsm!TableauR" type="102" refreshedVersion="8" minRefreshableVersion="5">
    <extLst>
      <ext xmlns:x15="http://schemas.microsoft.com/office/spreadsheetml/2010/11/main" uri="{DE250136-89BD-433C-8126-D09CA5730AF9}">
        <x15:connection id="TableauR">
          <x15:rangePr sourceName="_xlcn.WorksheetConnection_GestiondestockExcelAvancé.xlsmTableauR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<sst xmlns="http://schemas.openxmlformats.org/spreadsheetml/2006/main" count="920" uniqueCount="283">
  <si>
    <t>Référence</t>
  </si>
  <si>
    <t>Désignation</t>
  </si>
  <si>
    <t>Catégorie</t>
  </si>
  <si>
    <t>Seuil d'arlerte</t>
  </si>
  <si>
    <t>Stock initial</t>
  </si>
  <si>
    <t>Prix unitaire</t>
  </si>
  <si>
    <t>Total</t>
  </si>
  <si>
    <t>Unité</t>
  </si>
  <si>
    <t xml:space="preserve"> </t>
  </si>
  <si>
    <r>
      <t xml:space="preserve">Nouvelle </t>
    </r>
    <r>
      <rPr>
        <b/>
        <sz val="14"/>
        <color rgb="FFFDCC00"/>
        <rFont val="Calisto MT"/>
        <family val="1"/>
      </rPr>
      <t>marchandise</t>
    </r>
  </si>
  <si>
    <r>
      <t xml:space="preserve">Liste des </t>
    </r>
    <r>
      <rPr>
        <b/>
        <sz val="14"/>
        <color rgb="FFFDCC00"/>
        <rFont val="Calisto MT"/>
        <family val="1"/>
      </rPr>
      <t>marchandises</t>
    </r>
    <r>
      <rPr>
        <b/>
        <sz val="14"/>
        <color theme="1"/>
        <rFont val="Calisto MT"/>
        <family val="1"/>
      </rPr>
      <t xml:space="preserve"> :</t>
    </r>
  </si>
  <si>
    <t>IPHONE</t>
  </si>
  <si>
    <t>SMARTPHONE</t>
  </si>
  <si>
    <t>PIECE</t>
  </si>
  <si>
    <t>SAMSUNG A55</t>
  </si>
  <si>
    <t>PEICE</t>
  </si>
  <si>
    <t>Date</t>
  </si>
  <si>
    <t>SAMSUNG A15</t>
  </si>
  <si>
    <t>IPHONE 11</t>
  </si>
  <si>
    <t>IPHONE 13</t>
  </si>
  <si>
    <t>INFINIX HOT 30</t>
  </si>
  <si>
    <t>TECNO SPARK 10</t>
  </si>
  <si>
    <t>REDMI NOTE 12</t>
  </si>
  <si>
    <t>SAMSUNG S23</t>
  </si>
  <si>
    <t>IPHONE 14</t>
  </si>
  <si>
    <t>TECNO CAMON 20</t>
  </si>
  <si>
    <t>CHARGEUR SAMSUNG</t>
  </si>
  <si>
    <t>ACCESSOIRE</t>
  </si>
  <si>
    <t>CHARGEUR IPHONE</t>
  </si>
  <si>
    <t>CABLE USB-C</t>
  </si>
  <si>
    <t>CABLE LIGHTNING</t>
  </si>
  <si>
    <t>ECOUTEURS BLUETOOTH</t>
  </si>
  <si>
    <t>CASQUE AUDIO</t>
  </si>
  <si>
    <t>POWER BANK 10000MAH</t>
  </si>
  <si>
    <t>POWER BANK 20000MAH</t>
  </si>
  <si>
    <t>COQUE IPHONE</t>
  </si>
  <si>
    <t>COQUE SAMSUNG</t>
  </si>
  <si>
    <t>CLAVIER HP</t>
  </si>
  <si>
    <t>INFORMATIQUE</t>
  </si>
  <si>
    <t>SOURIS HP</t>
  </si>
  <si>
    <t>ECRAN 22 POUCES</t>
  </si>
  <si>
    <t>ECRAN 24 POUCES</t>
  </si>
  <si>
    <t>ORDINATEUR HP</t>
  </si>
  <si>
    <t>ORDINATEUR DELL</t>
  </si>
  <si>
    <t>IMPRIMANTE CANON</t>
  </si>
  <si>
    <t>IMPRIMANTE HP</t>
  </si>
  <si>
    <t>CLÉ USB 32GB</t>
  </si>
  <si>
    <t>CLÉ USB 64GB</t>
  </si>
  <si>
    <t>DISQUE DUR 1TB</t>
  </si>
  <si>
    <t>DISQUE DUR 2TB</t>
  </si>
  <si>
    <t>CARTE MEMOIRE 32GB</t>
  </si>
  <si>
    <t>CARTE MEMOIRE 64GB</t>
  </si>
  <si>
    <t>ROUTEUR WIFI</t>
  </si>
  <si>
    <t>RESEAU</t>
  </si>
  <si>
    <t>MODEM 4G</t>
  </si>
  <si>
    <t>SWITCH 8 PORTS</t>
  </si>
  <si>
    <t>SWITCH 16 PORTS</t>
  </si>
  <si>
    <t>CABLE RESEAU</t>
  </si>
  <si>
    <t>PRISE RESEAU</t>
  </si>
  <si>
    <t>ONDULEUR 650VA</t>
  </si>
  <si>
    <t>ELECTRONIQUE</t>
  </si>
  <si>
    <t>ONDULEUR 1000VA</t>
  </si>
  <si>
    <t>VENTILATEUR</t>
  </si>
  <si>
    <t>ELECTROMENAGER</t>
  </si>
  <si>
    <t>CLIMATISEUR</t>
  </si>
  <si>
    <t>TELEVISEUR 32</t>
  </si>
  <si>
    <t>TELEVISEUR 43</t>
  </si>
  <si>
    <t>TELEVISEUR 55</t>
  </si>
  <si>
    <t>MACHINE A LAVER</t>
  </si>
  <si>
    <t>REFRIGERATEUR</t>
  </si>
  <si>
    <t>MICRO ONDE</t>
  </si>
  <si>
    <t>RIZ 25KG</t>
  </si>
  <si>
    <t>ALIMENTAIRE</t>
  </si>
  <si>
    <t>SAC</t>
  </si>
  <si>
    <t>SUCRE 1KG</t>
  </si>
  <si>
    <t>HUILE 1L</t>
  </si>
  <si>
    <t>LAIT EN POUDRE</t>
  </si>
  <si>
    <t>PATES 500G</t>
  </si>
  <si>
    <t>EAU MINERALE</t>
  </si>
  <si>
    <t>PAQUET</t>
  </si>
  <si>
    <t>JUS EN BOUTEILLE</t>
  </si>
  <si>
    <t>BISCUITS</t>
  </si>
  <si>
    <t>CAFE</t>
  </si>
  <si>
    <t>THE</t>
  </si>
  <si>
    <t>SAVON</t>
  </si>
  <si>
    <t>ENTRETIEN</t>
  </si>
  <si>
    <t>EAU DE JAVEL</t>
  </si>
  <si>
    <t>DETERGENT</t>
  </si>
  <si>
    <t>BALAI</t>
  </si>
  <si>
    <t>SERPILLIERE</t>
  </si>
  <si>
    <t>SEAU</t>
  </si>
  <si>
    <t>EPONGE</t>
  </si>
  <si>
    <t>PAPIER TOILETTE</t>
  </si>
  <si>
    <t>MOUCHOIR</t>
  </si>
  <si>
    <t>DESINFECTANT</t>
  </si>
  <si>
    <t>STYLO</t>
  </si>
  <si>
    <t>FOURNITURE</t>
  </si>
  <si>
    <t>CAHIER</t>
  </si>
  <si>
    <t>CLASSEUR</t>
  </si>
  <si>
    <t>PAPIER A4</t>
  </si>
  <si>
    <t>RAME</t>
  </si>
  <si>
    <t>AGRAFEUSE</t>
  </si>
  <si>
    <t>CALCULATRICE</t>
  </si>
  <si>
    <t>MARQUEUR</t>
  </si>
  <si>
    <t>CRAYON</t>
  </si>
  <si>
    <t>GOMME</t>
  </si>
  <si>
    <t>REGLE</t>
  </si>
  <si>
    <t>CIMENT</t>
  </si>
  <si>
    <t>CONSTRUCTION</t>
  </si>
  <si>
    <t>SABLE</t>
  </si>
  <si>
    <t>TONNE</t>
  </si>
  <si>
    <t>GRAVIER</t>
  </si>
  <si>
    <t>FER A BETON</t>
  </si>
  <si>
    <t>PEINTURE</t>
  </si>
  <si>
    <t>BIDON</t>
  </si>
  <si>
    <t>PINCEAU</t>
  </si>
  <si>
    <t>MARTEAU</t>
  </si>
  <si>
    <t>SCIE</t>
  </si>
  <si>
    <t>CLOUS</t>
  </si>
  <si>
    <t>KG</t>
  </si>
  <si>
    <t>TUYAU PVC</t>
  </si>
  <si>
    <t>LAMPE LED</t>
  </si>
  <si>
    <t>PROJECTEUR</t>
  </si>
  <si>
    <t>BATTERIE AUTO</t>
  </si>
  <si>
    <t>AUTOMOBILE</t>
  </si>
  <si>
    <t>HUILE MOTEUR</t>
  </si>
  <si>
    <t>PNEU</t>
  </si>
  <si>
    <t>FILTRE A HUILE</t>
  </si>
  <si>
    <t>FILTRE A AIR</t>
  </si>
  <si>
    <t>BOUGIE</t>
  </si>
  <si>
    <t>RADIATEUR</t>
  </si>
  <si>
    <t>ALTERNATEUR</t>
  </si>
  <si>
    <r>
      <t xml:space="preserve">Liste des </t>
    </r>
    <r>
      <rPr>
        <b/>
        <sz val="14"/>
        <color rgb="FFFDCC00"/>
        <rFont val="Calisto MT"/>
        <family val="1"/>
      </rPr>
      <t>entrées :</t>
    </r>
  </si>
  <si>
    <t>Numéro</t>
  </si>
  <si>
    <t>Designation</t>
  </si>
  <si>
    <t>Coût d'achat</t>
  </si>
  <si>
    <t>Quantité</t>
  </si>
  <si>
    <r>
      <t xml:space="preserve">Liste des </t>
    </r>
    <r>
      <rPr>
        <b/>
        <sz val="14"/>
        <color rgb="FFFDCC00"/>
        <rFont val="Calisto MT"/>
        <family val="1"/>
      </rPr>
      <t>sorties :</t>
    </r>
  </si>
  <si>
    <t>Prix de vente</t>
  </si>
  <si>
    <r>
      <t xml:space="preserve">Nouvelle </t>
    </r>
    <r>
      <rPr>
        <b/>
        <sz val="14"/>
        <color rgb="FFFDCC00"/>
        <rFont val="Calisto MT"/>
        <family val="1"/>
      </rPr>
      <t>opération</t>
    </r>
  </si>
  <si>
    <t>Prix ubitaire</t>
  </si>
  <si>
    <t>Veuillez saisir les detaills de l'opération de vente ou d'achat.</t>
  </si>
  <si>
    <t>TEL200</t>
  </si>
  <si>
    <t>TEL104</t>
  </si>
  <si>
    <t>TEL001</t>
  </si>
  <si>
    <t>TEL002</t>
  </si>
  <si>
    <t>TEL003</t>
  </si>
  <si>
    <t>TEL004</t>
  </si>
  <si>
    <t>TEL005</t>
  </si>
  <si>
    <t>TEL006</t>
  </si>
  <si>
    <t>TEL007</t>
  </si>
  <si>
    <t>TEL008</t>
  </si>
  <si>
    <t>TEL009</t>
  </si>
  <si>
    <t>TEL010</t>
  </si>
  <si>
    <t>ACC011</t>
  </si>
  <si>
    <t>ACC012</t>
  </si>
  <si>
    <t>ACC013</t>
  </si>
  <si>
    <t>ACC014</t>
  </si>
  <si>
    <t>ACC015</t>
  </si>
  <si>
    <t>ACC016</t>
  </si>
  <si>
    <t>ACC017</t>
  </si>
  <si>
    <t>ACC018</t>
  </si>
  <si>
    <t>ACC019</t>
  </si>
  <si>
    <t>ACC020</t>
  </si>
  <si>
    <t>INF021</t>
  </si>
  <si>
    <t>INF022</t>
  </si>
  <si>
    <t>INF023</t>
  </si>
  <si>
    <t>INF024</t>
  </si>
  <si>
    <t>INF025</t>
  </si>
  <si>
    <t>INF026</t>
  </si>
  <si>
    <t>INF027</t>
  </si>
  <si>
    <t>INF028</t>
  </si>
  <si>
    <t>INF029</t>
  </si>
  <si>
    <t>INF030</t>
  </si>
  <si>
    <t>INF031</t>
  </si>
  <si>
    <t>INF032</t>
  </si>
  <si>
    <t>INF033</t>
  </si>
  <si>
    <t>INF034</t>
  </si>
  <si>
    <t>RES035</t>
  </si>
  <si>
    <t>RES036</t>
  </si>
  <si>
    <t>RES037</t>
  </si>
  <si>
    <t>RES038</t>
  </si>
  <si>
    <t>RES039</t>
  </si>
  <si>
    <t>RES040</t>
  </si>
  <si>
    <t>RES041</t>
  </si>
  <si>
    <t>RES042</t>
  </si>
  <si>
    <t>ELE043</t>
  </si>
  <si>
    <t>ELE044</t>
  </si>
  <si>
    <t>ELE045</t>
  </si>
  <si>
    <t>ELE046</t>
  </si>
  <si>
    <t>ELE047</t>
  </si>
  <si>
    <t>ELE048</t>
  </si>
  <si>
    <t>ELE049</t>
  </si>
  <si>
    <t>ELE050</t>
  </si>
  <si>
    <t>ALI051</t>
  </si>
  <si>
    <t>ALI052</t>
  </si>
  <si>
    <t>ALI053</t>
  </si>
  <si>
    <t>ALI054</t>
  </si>
  <si>
    <t>ALI055</t>
  </si>
  <si>
    <t>ALI056</t>
  </si>
  <si>
    <t>ALI057</t>
  </si>
  <si>
    <t>ALI058</t>
  </si>
  <si>
    <t>ALI059</t>
  </si>
  <si>
    <t>ALI060</t>
  </si>
  <si>
    <t>ENT061</t>
  </si>
  <si>
    <t>ENT062</t>
  </si>
  <si>
    <t>ENT063</t>
  </si>
  <si>
    <t>ENT064</t>
  </si>
  <si>
    <t>ENT065</t>
  </si>
  <si>
    <t>ENT066</t>
  </si>
  <si>
    <t>ENT067</t>
  </si>
  <si>
    <t>ENT068</t>
  </si>
  <si>
    <t>ENT069</t>
  </si>
  <si>
    <t>ENT070</t>
  </si>
  <si>
    <t>BUR071</t>
  </si>
  <si>
    <t>BUR072</t>
  </si>
  <si>
    <t>BUR073</t>
  </si>
  <si>
    <t>BUR074</t>
  </si>
  <si>
    <t>BUR075</t>
  </si>
  <si>
    <t>BUR076</t>
  </si>
  <si>
    <t>BUR077</t>
  </si>
  <si>
    <t>BUR078</t>
  </si>
  <si>
    <t>BUR079</t>
  </si>
  <si>
    <t>BUR080</t>
  </si>
  <si>
    <t>BTP081</t>
  </si>
  <si>
    <t>BTP082</t>
  </si>
  <si>
    <t>BTP083</t>
  </si>
  <si>
    <t>BTP084</t>
  </si>
  <si>
    <t>BTP085</t>
  </si>
  <si>
    <t>BTP086</t>
  </si>
  <si>
    <t>BTP087</t>
  </si>
  <si>
    <t>BTP088</t>
  </si>
  <si>
    <t>BTP089</t>
  </si>
  <si>
    <t>BTP090</t>
  </si>
  <si>
    <t>AUT091</t>
  </si>
  <si>
    <t>AUT092</t>
  </si>
  <si>
    <t>AUT093</t>
  </si>
  <si>
    <t>AUT094</t>
  </si>
  <si>
    <t>AUT095</t>
  </si>
  <si>
    <t>AUT096</t>
  </si>
  <si>
    <t>AUT097</t>
  </si>
  <si>
    <t>AUT098</t>
  </si>
  <si>
    <t>AUT099</t>
  </si>
  <si>
    <t>AUT100</t>
  </si>
  <si>
    <t>v</t>
  </si>
  <si>
    <t>Details de toutes les transactions d'entrée.</t>
  </si>
  <si>
    <t>Details de toutes les transactions de sortie.</t>
  </si>
  <si>
    <t>Veuillez saisir les informations de chaque marchandise.</t>
  </si>
  <si>
    <r>
      <t xml:space="preserve">Details </t>
    </r>
    <r>
      <rPr>
        <b/>
        <sz val="14"/>
        <color rgb="FFFDCC00"/>
        <rFont val="Calisto MT"/>
        <family val="1"/>
      </rPr>
      <t>inventaires :</t>
    </r>
  </si>
  <si>
    <t>Statut</t>
  </si>
  <si>
    <t>Valeur</t>
  </si>
  <si>
    <t>CUMP</t>
  </si>
  <si>
    <t>Stock final</t>
  </si>
  <si>
    <t>Seuil d'arlete</t>
  </si>
  <si>
    <t>Entrées</t>
  </si>
  <si>
    <t>Sorties</t>
  </si>
  <si>
    <t>Somme de Stock final</t>
  </si>
  <si>
    <t>Somme de Valeur</t>
  </si>
  <si>
    <t>Mois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</si>
  <si>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</si>
  <si>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</si>
  <si>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</si>
  <si>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</si>
  <si>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</si>
  <si>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</si>
  <si>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</si>
  <si>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</si>
  <si>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</si>
  <si>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</si>
  <si>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</si>
  <si>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</si>
  <si>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Somme de Quantité</t>
  </si>
  <si>
    <t>Somme de Total</t>
  </si>
  <si>
    <t>Étiquettes de lignes</t>
  </si>
  <si>
    <t>Total général</t>
  </si>
  <si>
    <t>Jan</t>
  </si>
  <si>
    <t>Mar</t>
  </si>
  <si>
    <t>Apr</t>
  </si>
  <si>
    <t>May</t>
  </si>
  <si>
    <t>Jun</t>
  </si>
  <si>
    <t>Jul</t>
  </si>
  <si>
    <t>Somme de Total2</t>
  </si>
  <si>
    <t>SAMSUNG A56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</si>
</sst>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* #,##0\ &quot;CFA&quot;_-;\-* #,##0\ &quot;CFA&quot;_-;_-* &quot;-&quot;\ &quot;CFA&quot;_-;_-@_-"/>
    <numFmt numFmtId="164" formatCode="_-* #,##0.00\ [$F CFA-300C]_-;\-* #,##0.00\ [$F CFA-300C]_-;_-* &quot;-&quot;??\ [$F CFA-300C]_-;_-@_-"/>
    <numFmt numFmtId="165" formatCode="_-* #,##0.00\ [$F CFA-300C]_-;\-* #,##0.00\ [$F CFA-300C]_-;_-* &quot;-&quot;??\ [$F CFA-300C]_-;_-@_-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Calisto MT"/>
      <family val="1"/>
    </font>
    <font>
      <sz val="11"/>
      <color rgb="FF0E3083"/>
      <name val="Aptos Narrow"/>
      <family val="2"/>
      <scheme val="minor"/>
    </font>
    <font>
      <sz val="12"/>
      <color rgb="FFFDCC00"/>
      <name val="Aptos"/>
      <family val="2"/>
    </font>
    <font>
      <sz val="10"/>
      <color theme="1"/>
      <name val="Calisto MT"/>
      <family val="1"/>
    </font>
    <font>
      <b/>
      <sz val="14"/>
      <color theme="1"/>
      <name val="Calisto MT"/>
      <family val="1"/>
    </font>
    <font>
      <b/>
      <sz val="14"/>
      <color rgb="FFFDCC00"/>
      <name val="Calisto MT"/>
      <family val="1"/>
    </font>
    <font>
      <b/>
      <sz val="10"/>
      <color theme="1"/>
      <name val="Calisto MT"/>
      <family val="1"/>
    </font>
    <font>
      <sz val="10"/>
      <name val="Aptos Narrow"/>
      <family val="2"/>
      <scheme val="minor"/>
    </font>
    <font>
      <b/>
      <sz val="11"/>
      <color rgb="FFFDCC00"/>
      <name val="Aptos"/>
      <family val="2"/>
    </font>
    <font>
      <b/>
      <sz val="10"/>
      <color rgb="FF0E3083"/>
      <name val="Aptos Narrow"/>
      <family val="2"/>
      <scheme val="minor"/>
    </font>
    <font>
      <sz val="8"/>
      <name val="Aptos Narrow"/>
      <family val="2"/>
      <scheme val="minor"/>
    </font>
    <font>
      <b/>
      <sz val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0E308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EAEAEA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/>
      <top/>
      <bottom style="mediumDashed">
        <color theme="0" tint="-0.14990691854609822"/>
      </bottom>
      <diagonal/>
    </border>
    <border>
      <left/>
      <right/>
      <top style="mediumDashed">
        <color theme="0" tint="-0.14990691854609822"/>
      </top>
      <bottom style="mediumDashed">
        <color theme="0" tint="-0.14990691854609822"/>
      </bottom>
      <diagonal/>
    </border>
    <border>
      <left/>
      <right/>
      <top style="mediumDashed">
        <color theme="0" tint="-0.14990691854609822"/>
      </top>
      <bottom/>
      <diagonal/>
    </border>
    <border>
      <left style="mediumDashed">
        <color rgb="FFD9D9D9"/>
      </left>
      <right style="mediumDashed">
        <color rgb="FFD9D9D9"/>
      </right>
      <top style="mediumDashed">
        <color rgb="FFD9D9D9"/>
      </top>
      <bottom style="mediumDashed">
        <color rgb="FFD9D9D9"/>
      </bottom>
      <diagonal/>
    </border>
  </borders>
  <cellStyleXfs count="1">
    <xf numFmtId="0" fontId="0" fillId="0" borderId="0"/>
  </cellStyleXfs>
  <cellXfs count="86">
    <xf numFmtId="0" fontId="0" fillId="0" borderId="0" xfId="0"/>
    <xf numFmtId="165" fontId="10" fillId="2" borderId="3" xfId="0" applyNumberFormat="1" applyFont="1" applyFill="1" applyBorder="1" applyAlignment="1" applyProtection="1">
      <alignment horizontal="right" vertical="center"/>
    </xf>
    <xf numFmtId="0" fontId="10" fillId="2" borderId="3" xfId="0" applyFont="1" applyFill="1" applyBorder="1" applyAlignment="1" applyProtection="1">
      <alignment horizontal="center" vertical="center"/>
    </xf>
    <xf numFmtId="0" fontId="0" fillId="4" borderId="0" xfId="0" applyFill="1" applyProtection="1"/>
    <xf numFmtId="0" fontId="2" fillId="4" borderId="0" xfId="0" applyFont="1" applyFill="1" applyProtection="1"/>
    <xf numFmtId="0" fontId="0" fillId="2" borderId="0" xfId="0" applyFill="1" applyProtection="1"/>
    <xf numFmtId="0" fontId="0" fillId="3" borderId="0" xfId="0" applyFill="1" applyProtection="1"/>
    <xf numFmtId="0" fontId="7" fillId="2" borderId="0" xfId="0" applyFont="1" applyFill="1" applyProtection="1"/>
    <xf numFmtId="0" fontId="3" fillId="2" borderId="5" xfId="0" applyFont="1" applyFill="1" applyBorder="1" applyAlignment="1" applyProtection="1"/>
    <xf numFmtId="0" fontId="8" fillId="2" borderId="2" xfId="0" applyFont="1" applyFill="1" applyBorder="1" applyAlignment="1" applyProtection="1">
      <alignment horizontal="left" vertical="center"/>
    </xf>
    <xf numFmtId="0" fontId="10" fillId="2" borderId="3" xfId="0" applyFont="1" applyFill="1" applyBorder="1" applyProtection="1"/>
    <xf numFmtId="0" fontId="10" fillId="2" borderId="3" xfId="0" applyFon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7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8" fillId="2" borderId="2" xfId="0" applyFont="1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/>
    </xf>
    <xf numFmtId="0" fontId="0" fillId="4" borderId="0" xfId="0" applyFill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0" fillId="2" borderId="1" xfId="0" applyFill="1" applyBorder="1" applyAlignment="1" applyProtection="1">
      <alignment horizontal="right"/>
    </xf>
    <xf numFmtId="0" fontId="0" fillId="3" borderId="0" xfId="0" applyFill="1" applyAlignment="1" applyProtection="1">
      <alignment horizontal="right"/>
    </xf>
    <xf numFmtId="0" fontId="3" fillId="2" borderId="5" xfId="0" applyFont="1" applyFill="1" applyBorder="1" applyAlignment="1" applyProtection="1">
      <alignment horizontal="right"/>
    </xf>
    <xf numFmtId="164" fontId="3" fillId="2" borderId="5" xfId="0" applyNumberFormat="1" applyFont="1" applyFill="1" applyBorder="1" applyAlignment="1" applyProtection="1">
      <alignment horizontal="right"/>
    </xf>
    <xf numFmtId="165" fontId="10" fillId="2" borderId="3" xfId="0" applyNumberFormat="1" applyFont="1" applyFill="1" applyBorder="1" applyAlignment="1" applyProtection="1">
      <alignment horizontal="right"/>
    </xf>
    <xf numFmtId="164" fontId="9" fillId="5" borderId="4" xfId="0" applyNumberFormat="1" applyFont="1" applyFill="1" applyBorder="1" applyAlignment="1" applyProtection="1">
      <alignment horizontal="right" vertical="center"/>
    </xf>
    <xf numFmtId="0" fontId="9" fillId="5" borderId="4" xfId="0" applyFont="1" applyFill="1" applyBorder="1" applyAlignment="1" applyProtection="1">
      <alignment horizontal="left" vertical="center"/>
    </xf>
    <xf numFmtId="1" fontId="9" fillId="5" borderId="4" xfId="0" applyNumberFormat="1" applyFont="1" applyFill="1" applyBorder="1" applyAlignment="1" applyProtection="1">
      <alignment horizontal="right" vertical="center"/>
    </xf>
    <xf numFmtId="0" fontId="9" fillId="5" borderId="6" xfId="0" applyFont="1" applyFill="1" applyBorder="1" applyAlignment="1" applyProtection="1">
      <alignment horizontal="center" vertical="center"/>
    </xf>
    <xf numFmtId="0" fontId="9" fillId="5" borderId="6" xfId="0" applyFont="1" applyFill="1" applyBorder="1" applyAlignment="1" applyProtection="1">
      <alignment horizontal="left" vertical="center"/>
    </xf>
    <xf numFmtId="164" fontId="9" fillId="5" borderId="6" xfId="0" applyNumberFormat="1" applyFont="1" applyFill="1" applyBorder="1" applyAlignment="1" applyProtection="1">
      <alignment horizontal="right" vertical="center"/>
    </xf>
    <xf numFmtId="14" fontId="9" fillId="5" borderId="6" xfId="0" applyNumberFormat="1" applyFont="1" applyFill="1" applyBorder="1" applyAlignment="1" applyProtection="1">
      <alignment horizontal="center" vertical="center"/>
    </xf>
    <xf numFmtId="0" fontId="10" fillId="2" borderId="3" xfId="0" applyFont="1" applyFill="1" applyBorder="1" applyAlignment="1" applyProtection="1">
      <alignment horizontal="left" vertical="center"/>
    </xf>
    <xf numFmtId="164" fontId="10" fillId="2" borderId="3" xfId="0" applyNumberFormat="1" applyFont="1" applyFill="1" applyBorder="1" applyAlignment="1" applyProtection="1">
      <alignment horizontal="right" vertical="center"/>
    </xf>
    <xf numFmtId="14" fontId="10" fillId="2" borderId="3" xfId="0" applyNumberFormat="1" applyFont="1" applyFill="1" applyBorder="1" applyAlignment="1" applyProtection="1">
      <alignment horizontal="center" vertical="center"/>
    </xf>
    <xf numFmtId="0" fontId="10" fillId="2" borderId="2" xfId="0" applyFont="1" applyFill="1" applyBorder="1" applyAlignment="1" applyProtection="1">
      <alignment horizontal="left" vertical="center"/>
    </xf>
    <xf numFmtId="14" fontId="10" fillId="2" borderId="2" xfId="0" applyNumberFormat="1" applyFont="1" applyFill="1" applyBorder="1" applyAlignment="1" applyProtection="1">
      <alignment horizontal="center" vertical="center"/>
    </xf>
    <xf numFmtId="165" fontId="10" fillId="2" borderId="2" xfId="0" applyNumberFormat="1" applyFont="1" applyFill="1" applyBorder="1" applyAlignment="1" applyProtection="1">
      <alignment horizontal="right" vertical="center"/>
    </xf>
    <xf numFmtId="1" fontId="10" fillId="2" borderId="3" xfId="0" applyNumberFormat="1" applyFont="1" applyFill="1" applyBorder="1" applyAlignment="1" applyProtection="1">
      <alignment horizontal="center" vertical="center"/>
    </xf>
    <xf numFmtId="0" fontId="10" fillId="2" borderId="2" xfId="0" applyFont="1" applyFill="1" applyBorder="1" applyAlignment="1" applyProtection="1">
      <alignment horizontal="center" vertical="center"/>
    </xf>
    <xf numFmtId="1" fontId="10" fillId="2" borderId="2" xfId="0" applyNumberFormat="1" applyFont="1" applyFill="1" applyBorder="1" applyAlignment="1" applyProtection="1">
      <alignment horizontal="center" vertical="center"/>
    </xf>
    <xf numFmtId="0" fontId="10" fillId="2" borderId="3" xfId="0" applyNumberFormat="1" applyFont="1" applyFill="1" applyBorder="1" applyAlignment="1" applyProtection="1">
      <alignment horizontal="center" vertical="center"/>
    </xf>
    <xf numFmtId="165" fontId="10" fillId="2" borderId="2" xfId="0" applyNumberFormat="1" applyFont="1" applyFill="1" applyBorder="1" applyAlignment="1" applyProtection="1">
      <alignment horizontal="center" vertical="center"/>
    </xf>
    <xf numFmtId="164" fontId="10" fillId="2" borderId="3" xfId="0" applyNumberFormat="1" applyFont="1" applyFill="1" applyBorder="1" applyAlignment="1" applyProtection="1">
      <alignment horizontal="right"/>
    </xf>
    <xf numFmtId="0" fontId="10" fillId="2" borderId="2" xfId="0" applyNumberFormat="1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2" fillId="6" borderId="7" xfId="0" applyFont="1" applyFill="1" applyBorder="1" applyAlignment="1">
      <alignment horizontal="left" vertical="center"/>
    </xf>
    <xf numFmtId="0" fontId="12" fillId="6" borderId="7" xfId="0" applyFont="1" applyFill="1" applyBorder="1" applyAlignment="1">
      <alignment horizontal="center" vertical="center"/>
    </xf>
    <xf numFmtId="0" fontId="10" fillId="2" borderId="7" xfId="0" applyFont="1" applyFill="1" applyBorder="1" applyProtection="1"/>
    <xf numFmtId="0" fontId="10" fillId="2" borderId="7" xfId="0" applyFont="1" applyFill="1" applyBorder="1" applyAlignment="1" applyProtection="1">
      <alignment horizontal="center"/>
    </xf>
    <xf numFmtId="0" fontId="10" fillId="2" borderId="7" xfId="0" applyFont="1" applyFill="1" applyBorder="1" applyAlignment="1" applyProtection="1">
      <alignment horizontal="center" vertical="center"/>
    </xf>
    <xf numFmtId="165" fontId="10" fillId="2" borderId="7" xfId="0" applyNumberFormat="1" applyFont="1" applyFill="1" applyBorder="1" applyAlignment="1" applyProtection="1">
      <alignment horizontal="right" vertical="center"/>
    </xf>
    <xf numFmtId="165" fontId="10" fillId="2" borderId="7" xfId="0" applyNumberFormat="1" applyFont="1" applyFill="1" applyBorder="1" applyAlignment="1" applyProtection="1">
      <alignment horizontal="right"/>
    </xf>
    <xf numFmtId="0" fontId="5" fillId="2" borderId="0" xfId="0" applyFont="1" applyFill="1" applyAlignment="1" applyProtection="1"/>
    <xf numFmtId="0" fontId="10" fillId="2" borderId="7" xfId="0" applyFont="1" applyFill="1" applyBorder="1" applyAlignment="1" applyProtection="1">
      <alignment horizontal="right"/>
    </xf>
    <xf numFmtId="164" fontId="0" fillId="4" borderId="0" xfId="0" applyNumberFormat="1" applyFill="1" applyAlignment="1" applyProtection="1">
      <alignment horizontal="right"/>
    </xf>
    <xf numFmtId="164" fontId="0" fillId="2" borderId="0" xfId="0" applyNumberFormat="1" applyFill="1" applyAlignment="1" applyProtection="1">
      <alignment horizontal="right"/>
    </xf>
    <xf numFmtId="164" fontId="12" fillId="6" borderId="7" xfId="0" applyNumberFormat="1" applyFont="1" applyFill="1" applyBorder="1" applyAlignment="1">
      <alignment horizontal="center" vertical="center"/>
    </xf>
    <xf numFmtId="164" fontId="10" fillId="2" borderId="7" xfId="0" applyNumberFormat="1" applyFont="1" applyFill="1" applyBorder="1" applyProtection="1"/>
    <xf numFmtId="164" fontId="10" fillId="2" borderId="7" xfId="0" applyNumberFormat="1" applyFont="1" applyFill="1" applyBorder="1" applyAlignment="1" applyProtection="1">
      <alignment horizontal="right" vertical="center"/>
    </xf>
    <xf numFmtId="164" fontId="10" fillId="2" borderId="7" xfId="0" applyNumberFormat="1" applyFont="1" applyFill="1" applyBorder="1" applyAlignment="1" applyProtection="1">
      <alignment horizontal="right"/>
    </xf>
    <xf numFmtId="165" fontId="10" fillId="2" borderId="7" xfId="0" applyNumberFormat="1" applyFont="1" applyFill="1" applyBorder="1" applyAlignment="1" applyProtection="1">
      <alignment horizontal="center"/>
    </xf>
    <xf numFmtId="0" fontId="0" fillId="7" borderId="0" xfId="0" applyFill="1"/>
    <xf numFmtId="0" fontId="0" fillId="0" borderId="0" xfId="0" applyNumberFormat="1"/>
    <xf numFmtId="0" fontId="13" fillId="7" borderId="8" xfId="0" applyFont="1" applyFill="1" applyBorder="1"/>
    <xf numFmtId="0" fontId="0" fillId="0" borderId="9" xfId="0" applyBorder="1"/>
    <xf numFmtId="0" fontId="0" fillId="0" borderId="10" xfId="0" applyBorder="1"/>
    <xf numFmtId="0" fontId="0" fillId="0" borderId="0" xfId="0" pivotButton="1"/>
    <xf numFmtId="0" fontId="0" fillId="0" borderId="0" xfId="0" applyAlignment="1">
      <alignment horizontal="left"/>
    </xf>
    <xf numFmtId="0" fontId="14" fillId="0" borderId="11" xfId="0" applyFont="1" applyBorder="1"/>
    <xf numFmtId="0" fontId="13" fillId="7" borderId="0" xfId="0" applyFont="1" applyFill="1"/>
    <xf numFmtId="42" fontId="13" fillId="7" borderId="0" xfId="0" applyNumberFormat="1" applyFont="1" applyFill="1"/>
    <xf numFmtId="0" fontId="13" fillId="7" borderId="0" xfId="0" applyFont="1" applyFill="1" applyAlignment="1">
      <alignment horizontal="left"/>
    </xf>
    <xf numFmtId="0" fontId="13" fillId="7" borderId="0" xfId="0" applyNumberFormat="1" applyFont="1" applyFill="1"/>
    <xf numFmtId="1" fontId="13" fillId="7" borderId="0" xfId="0" applyNumberFormat="1" applyFont="1" applyFill="1"/>
    <xf numFmtId="1" fontId="13" fillId="7" borderId="0" xfId="0" applyNumberFormat="1" applyFont="1" applyFill="1" applyAlignment="1">
      <alignment horizontal="left"/>
    </xf>
    <xf numFmtId="1" fontId="13" fillId="7" borderId="0" xfId="0" applyNumberFormat="1" applyFont="1" applyFill="1" applyAlignment="1"/>
    <xf numFmtId="42" fontId="0" fillId="0" borderId="0" xfId="0" applyNumberFormat="1"/>
    <xf numFmtId="0" fontId="13" fillId="7" borderId="0" xfId="0" applyNumberFormat="1" applyFont="1" applyFill="1" applyAlignment="1"/>
    <xf numFmtId="0" fontId="13" fillId="7" borderId="0" xfId="0" applyFont="1" applyFill="1" applyAlignment="1"/>
    <xf numFmtId="42" fontId="13" fillId="7" borderId="0" xfId="0" applyNumberFormat="1" applyFont="1" applyFill="1" applyAlignment="1"/>
    <xf numFmtId="0" fontId="5" fillId="2" borderId="0" xfId="0" applyFont="1" applyFill="1" applyAlignment="1" applyProtection="1">
      <alignment horizontal="left"/>
    </xf>
    <xf numFmtId="0" fontId="4" fillId="2" borderId="0" xfId="0" applyFont="1" applyFill="1" applyAlignment="1" applyProtection="1">
      <alignment horizontal="left"/>
    </xf>
    <xf numFmtId="0" fontId="5" fillId="2" borderId="0" xfId="0" applyFont="1" applyFill="1" applyAlignment="1" applyProtection="1">
      <alignment horizontal="left" vertical="center"/>
    </xf>
    <xf numFmtId="0" fontId="13" fillId="0" borderId="0" xfId="0" applyNumberFormat="1" applyFont="1"/>
    <xf numFmtId="42" fontId="13" fillId="0" borderId="0" xfId="0" applyNumberFormat="1" applyFont="1"/>
  </cellXfs>
  <cellStyles count="1">
    <cellStyle name="Normal" xfId="0" builtinId="0"/>
  </cellStyles>
  <dxfs count="160"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32" formatCode="_-* #,##0\ &quot;CFA&quot;_-;\-* #,##0\ &quot;CFA&quot;_-;_-* &quot;-&quot;\ &quot;CFA&quot;_-;_-@_-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numFmt numFmtId="1" formatCode="0"/>
      <fill>
        <patternFill patternType="solid">
          <fgColor indexed="64"/>
          <bgColor rgb="FFEAEAEA"/>
        </patternFill>
      </fill>
      <alignment horizontal="general" vertical="bottom" textRotation="0" wrapText="0" indent="0" justifyLastLine="0" shrinkToFit="0" readingOrder="0"/>
    </dxf>
    <dxf>
      <font>
        <b/>
      </font>
      <numFmt numFmtId="1" formatCode="0"/>
      <fill>
        <patternFill patternType="solid">
          <fgColor indexed="64"/>
          <bgColor rgb="FFEAEAEA"/>
        </patternFill>
      </fill>
      <alignment horizontal="general" vertical="bottom" textRotation="0" wrapText="0" indent="0" justifyLastLine="0" shrinkToFit="0" readingOrder="0"/>
    </dxf>
    <dxf>
      <numFmt numFmtId="1" formatCode="0"/>
    </dxf>
    <dxf>
      <numFmt numFmtId="32" formatCode="_-* #,##0\ &quot;CFA&quot;_-;\-* #,##0\ &quot;CFA&quot;_-;_-* &quot;-&quot;\ &quot;CFA&quot;_-;_-@_-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32" formatCode="_-* #,##0\ &quot;CFA&quot;_-;\-* #,##0\ &quot;CFA&quot;_-;_-* &quot;-&quot;\ &quot;CFA&quot;_-;_-@_-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0" formatCode="General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1" formatCode="0"/>
    </dxf>
    <dxf>
      <numFmt numFmtId="1" formatCode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border>
        <top style="medium">
          <color theme="0" tint="-0.24994659260841701"/>
        </top>
      </border>
    </dxf>
    <dxf>
      <border diagonalUp="0" diagonalDown="0"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</border>
    </dxf>
    <dxf>
      <font>
        <b/>
      </font>
    </dxf>
    <dxf>
      <border>
        <bottom style="medium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border>
        <top style="medium">
          <color theme="0" tint="-0.24994659260841701"/>
        </top>
      </border>
    </dxf>
    <dxf>
      <border diagonalUp="0" diagonalDown="0"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</border>
    </dxf>
    <dxf>
      <border>
        <bottom style="medium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numFmt numFmtId="165" formatCode="_-* #,##0.00\ [$F CFA-300C]_-;\-* #,##0.00\ [$F CFA-300C]_-;_-* &quot;-&quot;??\ [$F CFA-300C]_-;_-@_-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medium">
          <color theme="0" tint="-0.24994659260841701"/>
        </top>
        <bottom style="medium">
          <color theme="0" tint="-0.24994659260841701"/>
        </bottom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0"/>
        <color rgb="FF0E30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theme="0" tint="-0.24994659260841701"/>
        </top>
        <bottom style="medium">
          <color theme="0" tint="-0.24994659260841701"/>
        </bottom>
      </border>
      <protection locked="1" hidden="0"/>
    </dxf>
    <dxf>
      <border>
        <top style="medium">
          <color theme="0" tint="-0.24994659260841701"/>
        </top>
      </border>
    </dxf>
    <dxf>
      <border diagonalUp="0" diagonalDown="0"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</border>
    </dxf>
    <dxf>
      <border>
        <bottom style="medium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</border>
      <protection locked="1" hidden="0"/>
    </dxf>
    <dxf>
      <border diagonalUp="0" diagonalDown="0">
        <left/>
        <right/>
        <top style="mediumDashed">
          <color theme="0" tint="-0.14990691854609822"/>
        </top>
        <bottom style="mediumDashed">
          <color theme="0" tint="-0.14990691854609822"/>
        </bottom>
        <vertical/>
        <horizontal/>
      </border>
    </dxf>
    <dxf>
      <border outline="0">
        <top style="mediumDashed">
          <color theme="0" tint="-0.14990691854609822"/>
        </top>
      </border>
    </dxf>
    <dxf>
      <border outline="0">
        <left style="mediumDashed">
          <color theme="0" tint="-0.14990691854609822"/>
        </left>
        <right style="mediumDashed">
          <color theme="0" tint="-0.14990691854609822"/>
        </right>
        <bottom style="mediumDashed">
          <color theme="0" tint="-0.14990691854609822"/>
        </bottom>
      </border>
    </dxf>
    <dxf>
      <border outline="0">
        <bottom style="mediumDashed">
          <color theme="0" tint="-0.149906918546098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EAEAEA"/>
        </patternFill>
      </fill>
    </dxf>
    <dxf>
      <border outline="0">
        <top style="mediumDashed">
          <color theme="0" tint="-0.14990691854609822"/>
        </top>
      </border>
    </dxf>
    <dxf>
      <border outline="0">
        <left style="mediumDashed">
          <color theme="0" tint="-0.14990691854609822"/>
        </left>
        <right style="mediumDashed">
          <color theme="0" tint="-0.14990691854609822"/>
        </right>
        <bottom style="mediumDashed">
          <color theme="0" tint="-0.14990691854609822"/>
        </bottom>
      </border>
    </dxf>
    <dxf>
      <border outline="0">
        <bottom style="mediumDashed">
          <color theme="0" tint="-0.149906918546098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EAEAEA"/>
        </patternFill>
      </fill>
    </dxf>
    <dxf>
      <border diagonalUp="0" diagonalDown="0">
        <left/>
        <right/>
        <top style="mediumDashed">
          <color theme="0" tint="-0.14990691854609822"/>
        </top>
        <bottom style="mediumDashed">
          <color theme="0" tint="-0.14990691854609822"/>
        </bottom>
        <vertical/>
        <horizontal/>
      </border>
    </dxf>
    <dxf>
      <border outline="0">
        <top style="mediumDashed">
          <color theme="0" tint="-0.14990691854609822"/>
        </top>
      </border>
    </dxf>
    <dxf>
      <border outline="0">
        <left style="mediumDashed">
          <color theme="0" tint="-0.14990691854609822"/>
        </left>
        <right style="mediumDashed">
          <color theme="0" tint="-0.14990691854609822"/>
        </right>
        <bottom style="mediumDashed">
          <color theme="0" tint="-0.14990691854609822"/>
        </bottom>
      </border>
    </dxf>
    <dxf>
      <border outline="0">
        <bottom style="mediumDashed">
          <color theme="0" tint="-0.149906918546098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EAEAEA"/>
        </patternFill>
      </fill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font>
        <b/>
      </font>
      <fill>
        <patternFill patternType="solid">
          <fgColor indexed="64"/>
          <bgColor rgb="FFEAEAEA"/>
        </patternFill>
      </fill>
      <alignment horizontal="general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rgb="FFEAEAEA"/>
        </patternFill>
      </fill>
      <alignment horizontal="general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1" formatCode="0"/>
    </dxf>
    <dxf>
      <numFmt numFmtId="1" formatCode="0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0" formatCode="General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32" formatCode="_-* #,##0\ &quot;CFA&quot;_-;\-* #,##0\ &quot;CFA&quot;_-;_-* &quot;-&quot;\ &quot;CFA&quot;_-;_-@_-"/>
    </dxf>
    <dxf>
      <font>
        <b/>
      </font>
      <fill>
        <patternFill patternType="solid">
          <fgColor indexed="64"/>
          <bgColor rgb="FFEAEAEA"/>
        </patternFill>
      </fill>
      <alignment horizontal="general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rgb="FFEAEAEA"/>
        </patternFill>
      </fill>
      <alignment horizontal="general" vertical="bottom" textRotation="0" wrapText="0" indent="0" justifyLastLine="0" shrinkToFit="0" readingOrder="0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32" formatCode="_-* #,##0\ &quot;CFA&quot;_-;\-* #,##0\ &quot;CFA&quot;_-;_-* &quot;-&quot;\ &quot;CFA&quot;_-;_-@_-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32" formatCode="_-* #,##0\ &quot;CFA&quot;_-;\-* #,##0\ &quot;CFA&quot;_-;_-* &quot;-&quot;\ &quot;CFA&quot;_-;_-@_-"/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font>
        <b/>
      </font>
      <fill>
        <patternFill patternType="solid">
          <fgColor indexed="64"/>
          <bgColor rgb="FFEAEAEA"/>
        </patternFill>
      </fill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numFmt numFmtId="32" formatCode="_-* #,##0\ &quot;CFA&quot;_-;\-* #,##0\ &quot;CFA&quot;_-;_-* &quot;-&quot;\ &quot;CFA&quot;_-;_-@_-"/>
    </dxf>
    <dxf>
      <font>
        <b/>
      </font>
    </dxf>
    <dxf>
      <font>
        <b/>
      </font>
    </dxf>
    <dxf>
      <font>
        <b/>
      </font>
    </dxf>
    <dxf>
      <fill>
        <patternFill patternType="solid">
          <bgColor rgb="FFEAEAEA"/>
        </patternFill>
      </fill>
    </dxf>
  </dxfs>
  <tableStyles count="0" defaultTableStyle="TableStyleMedium2" defaultPivotStyle="PivotStyleLight16"/>
  <colors>
    <mruColors>
      <color rgb="FFFDCC00"/>
      <color rgb="FF0E3083"/>
      <color rgb="FFD9E3FB"/>
      <color rgb="FF9AB4F4"/>
      <color rgb="FF9999FF"/>
      <color rgb="FFF9F9FB"/>
      <color rgb="FFEAEAEA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0.xml"/><Relationship Id="rId21" Type="http://schemas.openxmlformats.org/officeDocument/2006/relationships/pivotCacheDefinition" Target="pivotCache/pivotCacheDefinition14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10" Type="http://schemas.openxmlformats.org/officeDocument/2006/relationships/pivotCacheDefinition" Target="pivotCache/pivotCacheDefinition3.xml"/><Relationship Id="rId19" Type="http://schemas.openxmlformats.org/officeDocument/2006/relationships/pivotCacheDefinition" Target="pivotCache/pivotCacheDefinition12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microsoft.com/office/2007/relationships/slicerCache" Target="slicerCaches/slicerCache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microsoft.com/office/2006/relationships/vbaProject" Target="vbaProject.bin"/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0" Type="http://schemas.openxmlformats.org/officeDocument/2006/relationships/pivotCacheDefinition" Target="pivotCache/pivotCacheDefinition13.xml"/><Relationship Id="rId41" Type="http://schemas.openxmlformats.org/officeDocument/2006/relationships/customXml" Target="../customXml/item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Avancé.xlsm]Traitements!Stock_I_Q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tx2">
              <a:lumMod val="25000"/>
              <a:lumOff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5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bg1">
              <a:lumMod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bg1">
              <a:lumMod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3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tx2">
              <a:lumMod val="25000"/>
              <a:lumOff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5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bg1">
              <a:lumMod val="6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5072489779808771E-17"/>
              <c:y val="-3.473228790058361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6403712296983757E-3"/>
              <c:y val="-0.1033034872675627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1044083526682049E-2"/>
              <c:y val="-1.0612520928430959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5641586468358165E-2"/>
              <c:y val="-1.0241976355667828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1763269174686521E-2"/>
              <c:y val="-1.0241976355667828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tx2">
              <a:lumMod val="25000"/>
              <a:lumOff val="7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1268122444952193E-17"/>
              <c:y val="9.26194344015563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3888888888888888E-2"/>
              <c:y val="1.198171115269533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8561484918793461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108792955404934"/>
          <c:y val="0.1055250774411511"/>
          <c:w val="0.32764236257010798"/>
          <c:h val="0.81744673015109004"/>
        </c:manualLayout>
      </c:layout>
      <c:pieChart>
        <c:varyColors val="1"/>
        <c:ser>
          <c:idx val="0"/>
          <c:order val="0"/>
          <c:tx>
            <c:strRef>
              <c:f>Traitements!$B$10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5E-4D5D-8648-258785CC593D}"/>
              </c:ext>
            </c:extLst>
          </c:dPt>
          <c:dPt>
            <c:idx val="1"/>
            <c:bubble3D val="0"/>
            <c:spPr>
              <a:solidFill>
                <a:srgbClr val="FD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5E-4D5D-8648-258785CC593D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5E-4D5D-8648-258785CC593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5E-4D5D-8648-258785CC593D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5E-4D5D-8648-258785CC593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5E-4D5D-8648-258785CC593D}"/>
              </c:ext>
            </c:extLst>
          </c:dPt>
          <c:dPt>
            <c:idx val="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5E-4D5D-8648-258785CC593D}"/>
              </c:ext>
            </c:extLst>
          </c:dPt>
          <c:dPt>
            <c:idx val="7"/>
            <c:bubble3D val="0"/>
            <c:spPr>
              <a:solidFill>
                <a:srgbClr val="0E308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45E-4D5D-8648-258785CC593D}"/>
              </c:ext>
            </c:extLst>
          </c:dPt>
          <c:dPt>
            <c:idx val="8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45E-4D5D-8648-258785CC593D}"/>
              </c:ext>
            </c:extLst>
          </c:dPt>
          <c:dPt>
            <c:idx val="9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45E-4D5D-8648-258785CC593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45E-4D5D-8648-258785CC593D}"/>
              </c:ext>
            </c:extLst>
          </c:dPt>
          <c:dLbls>
            <c:dLbl>
              <c:idx val="1"/>
              <c:layout>
                <c:manualLayout>
                  <c:x val="0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E-4D5D-8648-258785CC593D}"/>
                </c:ext>
              </c:extLst>
            </c:dLbl>
            <c:dLbl>
              <c:idx val="2"/>
              <c:layout>
                <c:manualLayout>
                  <c:x val="-8.5072489779808771E-17"/>
                  <c:y val="-3.473228790058361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45E-4D5D-8648-258785CC593D}"/>
                </c:ext>
              </c:extLst>
            </c:dLbl>
            <c:dLbl>
              <c:idx val="3"/>
              <c:layout>
                <c:manualLayout>
                  <c:x val="4.6403712296983757E-3"/>
                  <c:y val="-0.1033034872675627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E-4D5D-8648-258785CC593D}"/>
                </c:ext>
              </c:extLst>
            </c:dLbl>
            <c:dLbl>
              <c:idx val="4"/>
              <c:layout>
                <c:manualLayout>
                  <c:x val="5.1044083526682049E-2"/>
                  <c:y val="-1.0612520928430959E-1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5E-4D5D-8648-258785CC593D}"/>
                </c:ext>
              </c:extLst>
            </c:dLbl>
            <c:dLbl>
              <c:idx val="5"/>
              <c:layout>
                <c:manualLayout>
                  <c:x val="-5.5641586468358165E-2"/>
                  <c:y val="-1.0241976355667828E-1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E-4D5D-8648-258785CC593D}"/>
                </c:ext>
              </c:extLst>
            </c:dLbl>
            <c:dLbl>
              <c:idx val="6"/>
              <c:layout>
                <c:manualLayout>
                  <c:x val="-4.1763269174686521E-2"/>
                  <c:y val="-1.0241976355667828E-1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45E-4D5D-8648-258785CC593D}"/>
                </c:ext>
              </c:extLst>
            </c:dLbl>
            <c:dLbl>
              <c:idx val="8"/>
              <c:layout>
                <c:manualLayout>
                  <c:x val="-2.1268122444952193E-17"/>
                  <c:y val="9.2619434401556303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45E-4D5D-8648-258785CC593D}"/>
                </c:ext>
              </c:extLst>
            </c:dLbl>
            <c:dLbl>
              <c:idx val="9"/>
              <c:layout>
                <c:manualLayout>
                  <c:x val="1.3888888888888888E-2"/>
                  <c:y val="1.1981711152695335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45E-4D5D-8648-258785CC593D}"/>
                </c:ext>
              </c:extLst>
            </c:dLbl>
            <c:dLbl>
              <c:idx val="10"/>
              <c:layout>
                <c:manualLayout>
                  <c:x val="1.8561484918793461E-2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45E-4D5D-8648-258785CC59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Traitements!$A$11:$A$22</c:f>
              <c:strCache>
                <c:ptCount val="11"/>
                <c:pt idx="0">
                  <c:v>ACCESSOIRE</c:v>
                </c:pt>
                <c:pt idx="1">
                  <c:v>ALIMENTAIRE</c:v>
                </c:pt>
                <c:pt idx="2">
                  <c:v>AUTOMOBILE</c:v>
                </c:pt>
                <c:pt idx="3">
                  <c:v>CONSTRUCTION</c:v>
                </c:pt>
                <c:pt idx="4">
                  <c:v>ELECTROMENAGER</c:v>
                </c:pt>
                <c:pt idx="5">
                  <c:v>ELECTRONIQUE</c:v>
                </c:pt>
                <c:pt idx="6">
                  <c:v>ENTRETIEN</c:v>
                </c:pt>
                <c:pt idx="7">
                  <c:v>FOURNITURE</c:v>
                </c:pt>
                <c:pt idx="8">
                  <c:v>INFORMATIQUE</c:v>
                </c:pt>
                <c:pt idx="9">
                  <c:v>RESEAU</c:v>
                </c:pt>
                <c:pt idx="10">
                  <c:v>SMARTPHONE</c:v>
                </c:pt>
              </c:strCache>
            </c:strRef>
          </c:cat>
          <c:val>
            <c:numRef>
              <c:f>Traitements!$B$11:$B$22</c:f>
              <c:numCache>
                <c:formatCode>General</c:formatCode>
                <c:ptCount val="11"/>
                <c:pt idx="0">
                  <c:v>1071</c:v>
                </c:pt>
                <c:pt idx="1">
                  <c:v>1560</c:v>
                </c:pt>
                <c:pt idx="2">
                  <c:v>493</c:v>
                </c:pt>
                <c:pt idx="3">
                  <c:v>1160</c:v>
                </c:pt>
                <c:pt idx="4">
                  <c:v>74</c:v>
                </c:pt>
                <c:pt idx="5">
                  <c:v>358</c:v>
                </c:pt>
                <c:pt idx="6">
                  <c:v>1320</c:v>
                </c:pt>
                <c:pt idx="7">
                  <c:v>2390</c:v>
                </c:pt>
                <c:pt idx="8">
                  <c:v>745</c:v>
                </c:pt>
                <c:pt idx="9">
                  <c:v>431</c:v>
                </c:pt>
                <c:pt idx="10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45E-4D5D-8648-258785CC5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0.60750038598116407"/>
          <c:y val="5.3312394939396622E-2"/>
          <c:w val="0.37284352323606607"/>
          <c:h val="0.89337521012120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Avancé.xlsm]Traitements!Sotck_E_Q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746203193632199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E3083"/>
          </a:solidFill>
        </c:spPr>
      </c:pivotFmt>
      <c:pivotFmt>
        <c:idx val="8"/>
        <c:spPr>
          <a:solidFill>
            <a:schemeClr val="accent2"/>
          </a:solidFill>
        </c:spPr>
        <c:dLbl>
          <c:idx val="0"/>
          <c:layout>
            <c:manualLayout>
              <c:x val="7.6605673001949121E-2"/>
              <c:y val="2.19183567100373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</c:spPr>
        <c:dLbl>
          <c:idx val="0"/>
          <c:layout>
            <c:manualLayout>
              <c:x val="5.6201480942259678E-2"/>
              <c:y val="-3.291243995207395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-1.534008484959273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674489112666416"/>
          <c:y val="0.1386806082803039"/>
          <c:w val="0.40619049934724627"/>
          <c:h val="0.74440470212397658"/>
        </c:manualLayout>
      </c:layout>
      <c:pieChart>
        <c:varyColors val="1"/>
        <c:ser>
          <c:idx val="0"/>
          <c:order val="0"/>
          <c:tx>
            <c:strRef>
              <c:f>Traitements!$B$43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D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080-462C-A934-A027315E174A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F-6080-462C-A934-A027315E174A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6080-462C-A934-A027315E174A}"/>
              </c:ext>
            </c:extLst>
          </c:dPt>
          <c:dPt>
            <c:idx val="3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D-6080-462C-A934-A027315E174A}"/>
              </c:ext>
            </c:extLst>
          </c:dPt>
          <c:dPt>
            <c:idx val="4"/>
            <c:bubble3D val="0"/>
            <c:spPr>
              <a:solidFill>
                <a:srgbClr val="0E3083"/>
              </a:solidFill>
            </c:spPr>
            <c:extLst>
              <c:ext xmlns:c16="http://schemas.microsoft.com/office/drawing/2014/chart" uri="{C3380CC4-5D6E-409C-BE32-E72D297353CC}">
                <c16:uniqueId val="{00000008-C6F8-4537-A8A4-4832DCA8E71D}"/>
              </c:ext>
            </c:extLst>
          </c:dPt>
          <c:dLbls>
            <c:dLbl>
              <c:idx val="0"/>
              <c:layout>
                <c:manualLayout>
                  <c:x val="-0.11746203193632199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80-462C-A934-A027315E174A}"/>
                </c:ext>
              </c:extLst>
            </c:dLbl>
            <c:dLbl>
              <c:idx val="1"/>
              <c:layout>
                <c:manualLayout>
                  <c:x val="-1.534008484959273E-2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80-462C-A934-A027315E174A}"/>
                </c:ext>
              </c:extLst>
            </c:dLbl>
            <c:dLbl>
              <c:idx val="2"/>
              <c:layout>
                <c:manualLayout>
                  <c:x val="5.6201480942259678E-2"/>
                  <c:y val="-3.2912439952073956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080-462C-A934-A027315E174A}"/>
                </c:ext>
              </c:extLst>
            </c:dLbl>
            <c:dLbl>
              <c:idx val="3"/>
              <c:layout>
                <c:manualLayout>
                  <c:x val="7.6605673001949121E-2"/>
                  <c:y val="2.191835671003739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080-462C-A934-A027315E17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Traitements!$A$44:$A$49</c:f>
              <c:strCache>
                <c:ptCount val="5"/>
                <c:pt idx="0">
                  <c:v>ACCESSOIRE</c:v>
                </c:pt>
                <c:pt idx="1">
                  <c:v>ELECTRONIQUE</c:v>
                </c:pt>
                <c:pt idx="2">
                  <c:v>INFORMATIQUE</c:v>
                </c:pt>
                <c:pt idx="3">
                  <c:v>RESEAU</c:v>
                </c:pt>
                <c:pt idx="4">
                  <c:v>SMARTPHONE</c:v>
                </c:pt>
              </c:strCache>
            </c:strRef>
          </c:cat>
          <c:val>
            <c:numRef>
              <c:f>Traitements!$B$44:$B$49</c:f>
              <c:numCache>
                <c:formatCode>General</c:formatCode>
                <c:ptCount val="5"/>
                <c:pt idx="0">
                  <c:v>19</c:v>
                </c:pt>
                <c:pt idx="1">
                  <c:v>14</c:v>
                </c:pt>
                <c:pt idx="2">
                  <c:v>75</c:v>
                </c:pt>
                <c:pt idx="3">
                  <c:v>2</c:v>
                </c:pt>
                <c:pt idx="4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80-462C-A934-A027315E1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 b="1"/>
          </a:pPr>
          <a:endParaRPr lang="fr-FR"/>
        </a:p>
      </c:txPr>
    </c:legend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Avancé.xlsm]Traitements!Stock_S_Q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6617203136791678"/>
              <c:y val="-0.5214972559353564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872130778647575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247471628304392"/>
          <c:y val="9.8953613148223291E-2"/>
          <c:w val="0.35424679614571347"/>
          <c:h val="0.8052591781248436"/>
        </c:manualLayout>
      </c:layout>
      <c:pieChart>
        <c:varyColors val="1"/>
        <c:ser>
          <c:idx val="0"/>
          <c:order val="0"/>
          <c:tx>
            <c:strRef>
              <c:f>Traitements!$B$65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51-482B-8D35-AB95779608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C6-4400-A20F-A64803AE1B76}"/>
              </c:ext>
            </c:extLst>
          </c:dPt>
          <c:dPt>
            <c:idx val="2"/>
            <c:bubble3D val="0"/>
            <c:spPr>
              <a:solidFill>
                <a:srgbClr val="0E308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C6-4400-A20F-A64803AE1B76}"/>
              </c:ext>
            </c:extLst>
          </c:dPt>
          <c:dLbls>
            <c:dLbl>
              <c:idx val="0"/>
              <c:layout>
                <c:manualLayout>
                  <c:x val="-0.10872130778647575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51-482B-8D35-AB95779608C0}"/>
                </c:ext>
              </c:extLst>
            </c:dLbl>
            <c:dLbl>
              <c:idx val="2"/>
              <c:layout>
                <c:manualLayout>
                  <c:x val="-0.26617203136791678"/>
                  <c:y val="-0.52149725593535645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9C6-4400-A20F-A64803AE1B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Traitements!$A$66:$A$69</c:f>
              <c:strCache>
                <c:ptCount val="3"/>
                <c:pt idx="0">
                  <c:v>ELECTRONIQUE</c:v>
                </c:pt>
                <c:pt idx="1">
                  <c:v>RESEAU</c:v>
                </c:pt>
                <c:pt idx="2">
                  <c:v>SMARTPHONE</c:v>
                </c:pt>
              </c:strCache>
            </c:strRef>
          </c:cat>
          <c:val>
            <c:numRef>
              <c:f>Traitements!$B$66:$B$69</c:f>
              <c:numCache>
                <c:formatCode>0</c:formatCode>
                <c:ptCount val="3"/>
                <c:pt idx="0">
                  <c:v>6</c:v>
                </c:pt>
                <c:pt idx="1">
                  <c:v>21</c:v>
                </c:pt>
                <c:pt idx="2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51-482B-8D35-AB9577960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28328561582193E-2"/>
          <c:y val="0.2202320762536262"/>
          <c:w val="0.92694061300133501"/>
          <c:h val="0.5770998756734355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E308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Traitements!$D$79:$D$84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Traitements!$E$79:$E$84</c:f>
              <c:numCache>
                <c:formatCode>General</c:formatCode>
                <c:ptCount val="6"/>
                <c:pt idx="0">
                  <c:v>4</c:v>
                </c:pt>
                <c:pt idx="1">
                  <c:v>409</c:v>
                </c:pt>
                <c:pt idx="2">
                  <c:v>12</c:v>
                </c:pt>
                <c:pt idx="3">
                  <c:v>102</c:v>
                </c:pt>
                <c:pt idx="4">
                  <c:v>3</c:v>
                </c:pt>
                <c:pt idx="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29-485B-A6D7-436ABF0C8117}"/>
            </c:ext>
          </c:extLst>
        </c:ser>
        <c:ser>
          <c:idx val="1"/>
          <c:order val="1"/>
          <c:spPr>
            <a:solidFill>
              <a:srgbClr val="FDCC00"/>
            </a:solidFill>
            <a:ln>
              <a:noFill/>
            </a:ln>
            <a:effectLst/>
          </c:spPr>
          <c:invertIfNegative val="0"/>
          <c:cat>
            <c:strRef>
              <c:f>Traitements!$D$79:$D$84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Traitements!$F$79:$F$84</c:f>
              <c:numCache>
                <c:formatCode>General</c:formatCode>
                <c:ptCount val="6"/>
                <c:pt idx="0">
                  <c:v>0</c:v>
                </c:pt>
                <c:pt idx="1">
                  <c:v>409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29-485B-A6D7-436ABF0C8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2941103"/>
        <c:axId val="72941583"/>
      </c:barChart>
      <c:catAx>
        <c:axId val="72941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fr-FR"/>
          </a:p>
        </c:txPr>
        <c:crossAx val="72941583"/>
        <c:crosses val="autoZero"/>
        <c:auto val="1"/>
        <c:lblAlgn val="ctr"/>
        <c:lblOffset val="100"/>
        <c:noMultiLvlLbl val="0"/>
      </c:catAx>
      <c:valAx>
        <c:axId val="7294158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7294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45474067814625E-2"/>
          <c:y val="0.25872546607749214"/>
          <c:w val="0.91818178889827806"/>
          <c:h val="0.5249716748485422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E308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Traitements!$D$89:$D$93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Traitements!$E$89:$E$93</c:f>
              <c:numCache>
                <c:formatCode>General</c:formatCode>
                <c:ptCount val="5"/>
                <c:pt idx="0">
                  <c:v>352</c:v>
                </c:pt>
                <c:pt idx="1">
                  <c:v>158</c:v>
                </c:pt>
                <c:pt idx="2">
                  <c:v>23</c:v>
                </c:pt>
                <c:pt idx="3">
                  <c:v>65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35-497A-AC3E-A9178ABBC658}"/>
            </c:ext>
          </c:extLst>
        </c:ser>
        <c:ser>
          <c:idx val="1"/>
          <c:order val="1"/>
          <c:spPr>
            <a:solidFill>
              <a:srgbClr val="FDCC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DC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C35-497A-AC3E-A9178ABBC658}"/>
              </c:ext>
            </c:extLst>
          </c:dPt>
          <c:cat>
            <c:strRef>
              <c:f>Traitements!$D$89:$D$93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Traitements!$F$89:$F$93</c:f>
              <c:numCache>
                <c:formatCode>General</c:formatCode>
                <c:ptCount val="5"/>
                <c:pt idx="0">
                  <c:v>352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35-497A-AC3E-A9178ABB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189529599"/>
        <c:axId val="1189526239"/>
      </c:barChart>
      <c:catAx>
        <c:axId val="1189529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fr-FR"/>
          </a:p>
        </c:txPr>
        <c:crossAx val="1189526239"/>
        <c:crosses val="autoZero"/>
        <c:auto val="1"/>
        <c:lblAlgn val="ctr"/>
        <c:lblOffset val="100"/>
        <c:noMultiLvlLbl val="0"/>
      </c:catAx>
      <c:valAx>
        <c:axId val="11895262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89529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Avancé.xlsm]Traitements!Tableau croisé dynamique4</c:name>
    <c:fmtId val="12"/>
  </c:pivotSource>
  <c:chart>
    <c:autoTitleDeleted val="0"/>
    <c:pivotFmts>
      <c:pivotFmt>
        <c:idx val="0"/>
        <c:spPr>
          <a:gradFill>
            <a:gsLst>
              <a:gs pos="75000">
                <a:schemeClr val="bg1">
                  <a:lumMod val="25000"/>
                  <a:lumOff val="75000"/>
                  <a:alpha val="50000"/>
                </a:schemeClr>
              </a:gs>
              <a:gs pos="0">
                <a:srgbClr val="9AB4F4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75000">
                <a:schemeClr val="bg1">
                  <a:lumMod val="25000"/>
                  <a:lumOff val="75000"/>
                  <a:alpha val="50000"/>
                </a:schemeClr>
              </a:gs>
              <a:gs pos="0">
                <a:srgbClr val="9AB4F4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75000">
                <a:schemeClr val="bg1">
                  <a:lumMod val="25000"/>
                  <a:lumOff val="75000"/>
                  <a:alpha val="50000"/>
                </a:schemeClr>
              </a:gs>
              <a:gs pos="0">
                <a:srgbClr val="9AB4F4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4372483019775198E-2"/>
          <c:y val="0.40235081587370158"/>
          <c:w val="0.9632000276281254"/>
          <c:h val="0.29111913094196562"/>
        </c:manualLayout>
      </c:layout>
      <c:areaChart>
        <c:grouping val="standard"/>
        <c:varyColors val="0"/>
        <c:ser>
          <c:idx val="0"/>
          <c:order val="0"/>
          <c:tx>
            <c:strRef>
              <c:f>Traitements!$B$97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5000">
                  <a:schemeClr val="bg1">
                    <a:lumMod val="25000"/>
                    <a:lumOff val="75000"/>
                    <a:alpha val="50000"/>
                  </a:schemeClr>
                </a:gs>
                <a:gs pos="0">
                  <a:srgbClr val="9AB4F4"/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Traitements!$A$98:$A$104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Traitements!$B$98:$B$104</c:f>
              <c:numCache>
                <c:formatCode>_("CFA"* #,##0_);_("CFA"* \(#,##0\);_("CFA"* "-"_);_(@_)</c:formatCode>
                <c:ptCount val="6"/>
                <c:pt idx="0">
                  <c:v>1200000</c:v>
                </c:pt>
                <c:pt idx="1">
                  <c:v>139259000</c:v>
                </c:pt>
                <c:pt idx="2">
                  <c:v>1700000</c:v>
                </c:pt>
                <c:pt idx="3">
                  <c:v>25480000</c:v>
                </c:pt>
                <c:pt idx="4">
                  <c:v>1085000</c:v>
                </c:pt>
                <c:pt idx="5">
                  <c:v>29300000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B9-4C2A-8CE3-BACF57CBE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1071"/>
        <c:axId val="27176351"/>
      </c:areaChart>
      <c:lineChart>
        <c:grouping val="standard"/>
        <c:varyColors val="0"/>
        <c:ser>
          <c:idx val="1"/>
          <c:order val="1"/>
          <c:tx>
            <c:strRef>
              <c:f>Traitements!$C$97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8575" cap="rnd">
              <a:solidFill>
                <a:srgbClr val="0E3083"/>
              </a:solidFill>
              <a:round/>
            </a:ln>
            <a:effectLst/>
          </c:spPr>
          <c:marker>
            <c:symbol val="none"/>
          </c:marker>
          <c:cat>
            <c:strRef>
              <c:f>Traitements!$A$98:$A$104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Traitements!$C$98:$C$104</c:f>
              <c:numCache>
                <c:formatCode>_("CFA"* #,##0_);_("CFA"* \(#,##0\);_("CFA"* "-"_);_(@_)</c:formatCode>
                <c:ptCount val="6"/>
                <c:pt idx="0">
                  <c:v>1200000</c:v>
                </c:pt>
                <c:pt idx="1">
                  <c:v>139259000</c:v>
                </c:pt>
                <c:pt idx="2">
                  <c:v>1700000</c:v>
                </c:pt>
                <c:pt idx="3">
                  <c:v>25480000</c:v>
                </c:pt>
                <c:pt idx="4">
                  <c:v>1085000</c:v>
                </c:pt>
                <c:pt idx="5">
                  <c:v>29300000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7B9-4C2A-8CE3-BACF57CBE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71071"/>
        <c:axId val="27176351"/>
      </c:lineChart>
      <c:catAx>
        <c:axId val="27171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fr-FR"/>
          </a:p>
        </c:txPr>
        <c:crossAx val="27176351"/>
        <c:crosses val="autoZero"/>
        <c:auto val="1"/>
        <c:lblAlgn val="ctr"/>
        <c:lblOffset val="100"/>
        <c:noMultiLvlLbl val="0"/>
      </c:catAx>
      <c:valAx>
        <c:axId val="27176351"/>
        <c:scaling>
          <c:orientation val="minMax"/>
        </c:scaling>
        <c:delete val="1"/>
        <c:axPos val="l"/>
        <c:numFmt formatCode="_(&quot;CFA&quot;* #,##0_);_(&quot;CFA&quot;* \(#,##0\);_(&quot;CFA&quot;* &quot;-&quot;_);_(@_)" sourceLinked="1"/>
        <c:majorTickMark val="none"/>
        <c:minorTickMark val="none"/>
        <c:tickLblPos val="nextTo"/>
        <c:crossAx val="27171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Avancé.xlsm]Traitements!Tableau croisé dynamique6</c:name>
    <c:fmtId val="7"/>
  </c:pivotSource>
  <c:chart>
    <c:autoTitleDeleted val="0"/>
    <c:pivotFmts>
      <c:pivotFmt>
        <c:idx val="0"/>
        <c:spPr>
          <a:gradFill>
            <a:gsLst>
              <a:gs pos="75000">
                <a:schemeClr val="bg1">
                  <a:lumMod val="25000"/>
                  <a:lumOff val="75000"/>
                  <a:alpha val="50000"/>
                </a:schemeClr>
              </a:gs>
              <a:gs pos="0">
                <a:srgbClr val="9AB4F4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75000">
                <a:schemeClr val="bg1">
                  <a:lumMod val="25000"/>
                  <a:lumOff val="75000"/>
                  <a:alpha val="50000"/>
                </a:schemeClr>
              </a:gs>
              <a:gs pos="0">
                <a:srgbClr val="9AB4F4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75000">
                <a:schemeClr val="bg1">
                  <a:lumMod val="25000"/>
                  <a:lumOff val="75000"/>
                  <a:alpha val="50000"/>
                </a:schemeClr>
              </a:gs>
              <a:gs pos="0">
                <a:srgbClr val="9AB4F4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80555324253232E-2"/>
          <c:y val="0.2912723875617243"/>
          <c:w val="0.9607908550904819"/>
          <c:h val="0.35953203159022168"/>
        </c:manualLayout>
      </c:layout>
      <c:areaChart>
        <c:grouping val="standard"/>
        <c:varyColors val="0"/>
        <c:ser>
          <c:idx val="0"/>
          <c:order val="0"/>
          <c:tx>
            <c:strRef>
              <c:f>Traitements!$B$107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5000">
                  <a:schemeClr val="bg1">
                    <a:lumMod val="25000"/>
                    <a:lumOff val="75000"/>
                    <a:alpha val="50000"/>
                  </a:schemeClr>
                </a:gs>
                <a:gs pos="0">
                  <a:srgbClr val="9AB4F4"/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Traitements!$A$108:$A$113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Traitements!$B$108:$B$113</c:f>
              <c:numCache>
                <c:formatCode>_("CFA"* #,##0_);_("CFA"* \(#,##0\);_("CFA"* "-"_);_(@_)</c:formatCode>
                <c:ptCount val="5"/>
                <c:pt idx="0">
                  <c:v>81717000</c:v>
                </c:pt>
                <c:pt idx="1">
                  <c:v>35200000</c:v>
                </c:pt>
                <c:pt idx="2">
                  <c:v>9000000</c:v>
                </c:pt>
                <c:pt idx="3">
                  <c:v>16250000</c:v>
                </c:pt>
                <c:pt idx="4">
                  <c:v>6250000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42-4716-9CD6-D5C06E8D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053983"/>
        <c:axId val="1058053023"/>
      </c:areaChart>
      <c:lineChart>
        <c:grouping val="standard"/>
        <c:varyColors val="0"/>
        <c:ser>
          <c:idx val="1"/>
          <c:order val="1"/>
          <c:tx>
            <c:strRef>
              <c:f>Traitements!$C$107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8575" cap="rnd">
              <a:solidFill>
                <a:srgbClr val="0E3083"/>
              </a:solidFill>
              <a:round/>
            </a:ln>
            <a:effectLst/>
          </c:spPr>
          <c:marker>
            <c:symbol val="none"/>
          </c:marker>
          <c:cat>
            <c:strRef>
              <c:f>Traitements!$A$108:$A$113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Traitements!$C$108:$C$113</c:f>
              <c:numCache>
                <c:formatCode>_("CFA"* #,##0_);_("CFA"* \(#,##0\);_("CFA"* "-"_);_(@_)</c:formatCode>
                <c:ptCount val="5"/>
                <c:pt idx="0">
                  <c:v>81717000</c:v>
                </c:pt>
                <c:pt idx="1">
                  <c:v>35200000</c:v>
                </c:pt>
                <c:pt idx="2">
                  <c:v>9000000</c:v>
                </c:pt>
                <c:pt idx="3">
                  <c:v>16250000</c:v>
                </c:pt>
                <c:pt idx="4">
                  <c:v>6250000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542-4716-9CD6-D5C06E8D1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8053983"/>
        <c:axId val="1058053023"/>
      </c:lineChart>
      <c:catAx>
        <c:axId val="1058053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fr-FR"/>
          </a:p>
        </c:txPr>
        <c:crossAx val="1058053023"/>
        <c:crosses val="autoZero"/>
        <c:auto val="1"/>
        <c:lblAlgn val="ctr"/>
        <c:lblOffset val="100"/>
        <c:noMultiLvlLbl val="0"/>
      </c:catAx>
      <c:valAx>
        <c:axId val="1058053023"/>
        <c:scaling>
          <c:orientation val="minMax"/>
        </c:scaling>
        <c:delete val="1"/>
        <c:axPos val="l"/>
        <c:numFmt formatCode="_(&quot;CFA&quot;* #,##0_);_(&quot;CFA&quot;* \(#,##0\);_(&quot;CFA&quot;* &quot;-&quot;_);_(@_)" sourceLinked="1"/>
        <c:majorTickMark val="none"/>
        <c:minorTickMark val="none"/>
        <c:tickLblPos val="nextTo"/>
        <c:crossAx val="105805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Avancé.xlsm]Traitements!Tableau croisé dynamique7</c:name>
    <c:fmtId val="17"/>
  </c:pivotSource>
  <c:chart>
    <c:autoTitleDeleted val="1"/>
    <c:pivotFmts>
      <c:pivotFmt>
        <c:idx val="0"/>
        <c:spPr>
          <a:solidFill>
            <a:srgbClr val="0E30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E3083"/>
          </a:solidFill>
          <a:ln>
            <a:noFill/>
          </a:ln>
          <a:effectLst/>
        </c:spPr>
      </c:pivotFmt>
      <c:pivotFmt>
        <c:idx val="2"/>
        <c:spPr>
          <a:solidFill>
            <a:srgbClr val="0E30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E30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E3083"/>
          </a:solidFill>
          <a:ln>
            <a:noFill/>
          </a:ln>
          <a:effectLst/>
        </c:spPr>
        <c:dLbl>
          <c:idx val="0"/>
          <c:layout>
            <c:manualLayout>
              <c:x val="-0.19978476494538414"/>
              <c:y val="-1.142812148481441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fld id="{FE8AD9E7-7C40-460D-A8C9-C34D2F8AED9D}" type="VALUE">
                  <a:rPr lang="en-US" sz="800">
                    <a:solidFill>
                      <a:schemeClr val="bg1"/>
                    </a:solidFill>
                    <a:latin typeface="Arial Black" panose="020B0A04020102020204" pitchFamily="34" charset="0"/>
                  </a:rPr>
                  <a:pPr>
                    <a:defRPr sz="800">
                      <a:latin typeface="Arial Black" panose="020B0A04020102020204" pitchFamily="34" charset="0"/>
                    </a:defRPr>
                  </a:pPr>
                  <a:t>[VALEUR]</a:t>
                </a:fld>
                <a:endParaRPr lang="fr-CI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5619607913475507"/>
                  <c:h val="0.25748571428571421"/>
                </c:manualLayout>
              </c15:layout>
              <c15:dlblFieldTable/>
              <c15:showDataLabelsRange val="0"/>
            </c:ext>
          </c:extLst>
        </c:dLbl>
      </c:pivotFmt>
      <c:pivotFmt>
        <c:idx val="5"/>
        <c:spPr>
          <a:solidFill>
            <a:srgbClr val="0E30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719817767653754"/>
                  <c:h val="0.32959999999999995"/>
                </c:manualLayout>
              </c15:layout>
            </c:ext>
          </c:extLst>
        </c:dLbl>
      </c:pivotFmt>
      <c:pivotFmt>
        <c:idx val="6"/>
        <c:spPr>
          <a:solidFill>
            <a:srgbClr val="0E30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26423690205011"/>
                  <c:h val="0.36388571428571426"/>
                </c:manualLayout>
              </c15:layout>
            </c:ext>
          </c:extLst>
        </c:dLbl>
      </c:pivotFmt>
      <c:pivotFmt>
        <c:idx val="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719817767653754"/>
                  <c:h val="0.22756756756756757"/>
                </c:manualLayout>
              </c15:layout>
            </c:ext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fr-F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364464692482914"/>
                  <c:h val="0.4978378378378377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41235628576040745"/>
          <c:y val="5.9611248593925761E-2"/>
          <c:w val="0.57731099671766539"/>
          <c:h val="0.907712935883014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Traitements!$B$121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E308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D6A-4F86-8AC0-C888393A3C2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D6A-4F86-8AC0-C888393A3C2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D6A-4F86-8AC0-C888393A3C2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/>
                      </a:solidFill>
                      <a:latin typeface="Arial Black" panose="020B0A040201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4719817767653754"/>
                      <c:h val="0.329599999999999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D6A-4F86-8AC0-C888393A3C2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/>
                      </a:solidFill>
                      <a:latin typeface="Arial Black" panose="020B0A04020102020204" pitchFamily="34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426423690205011"/>
                      <c:h val="0.3638857142857142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D6A-4F86-8AC0-C888393A3C23}"/>
                </c:ext>
              </c:extLst>
            </c:dLbl>
            <c:dLbl>
              <c:idx val="2"/>
              <c:layout>
                <c:manualLayout>
                  <c:x val="-0.19978476494538414"/>
                  <c:y val="-1.1428121484814412E-2"/>
                </c:manualLayout>
              </c:layout>
              <c:tx>
                <c:rich>
                  <a:bodyPr/>
                  <a:lstStyle/>
                  <a:p>
                    <a:fld id="{FE8AD9E7-7C40-460D-A8C9-C34D2F8AED9D}" type="VALUE">
                      <a:rPr lang="en-US" sz="800">
                        <a:solidFill>
                          <a:schemeClr val="bg1"/>
                        </a:solidFill>
                        <a:latin typeface="Arial Black" panose="020B0A04020102020204" pitchFamily="34" charset="0"/>
                      </a:rPr>
                      <a:pPr/>
                      <a:t>[VALEUR]</a:t>
                    </a:fld>
                    <a:endParaRPr lang="fr-CI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5619607913475507"/>
                      <c:h val="0.2574857142857142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D6A-4F86-8AC0-C888393A3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Traitements!$A$122:$A$125</c:f>
              <c:strCache>
                <c:ptCount val="3"/>
                <c:pt idx="0">
                  <c:v>IPHONE 13</c:v>
                </c:pt>
                <c:pt idx="1">
                  <c:v>IPHONE</c:v>
                </c:pt>
                <c:pt idx="2">
                  <c:v>SAMSUNG A55</c:v>
                </c:pt>
              </c:strCache>
            </c:strRef>
          </c:cat>
          <c:val>
            <c:numRef>
              <c:f>Traitements!$B$122:$B$125</c:f>
              <c:numCache>
                <c:formatCode>_("CFA"* #,##0_);_("CFA"* \(#,##0\);_("CFA"* "-"_);_(@_)</c:formatCode>
                <c:ptCount val="3"/>
                <c:pt idx="0">
                  <c:v>31350000</c:v>
                </c:pt>
                <c:pt idx="1">
                  <c:v>53500000</c:v>
                </c:pt>
                <c:pt idx="2">
                  <c:v>65500000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6A-4F86-8AC0-C888393A3C23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4824927"/>
        <c:axId val="384825887"/>
      </c:barChart>
      <c:catAx>
        <c:axId val="3848249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0E3083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endParaRPr lang="fr-FR"/>
          </a:p>
        </c:txPr>
        <c:crossAx val="384825887"/>
        <c:crosses val="autoZero"/>
        <c:auto val="1"/>
        <c:lblAlgn val="ctr"/>
        <c:lblOffset val="100"/>
        <c:noMultiLvlLbl val="0"/>
      </c:catAx>
      <c:valAx>
        <c:axId val="384825887"/>
        <c:scaling>
          <c:orientation val="minMax"/>
        </c:scaling>
        <c:delete val="1"/>
        <c:axPos val="b"/>
        <c:numFmt formatCode="_(&quot;CFA&quot;* #,##0_);_(&quot;CFA&quot;* \(#,##0\);_(&quot;CFA&quot;* &quot;-&quot;_);_(@_)" sourceLinked="1"/>
        <c:majorTickMark val="none"/>
        <c:minorTickMark val="none"/>
        <c:tickLblPos val="nextTo"/>
        <c:crossAx val="384824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Avancé.xlsm]Traitements!Stock_I_Q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E3083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DCC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tx2">
              <a:lumMod val="25000"/>
              <a:lumOff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5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5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bg1">
              <a:lumMod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318416447944006"/>
          <c:y val="0.179951516477107"/>
          <c:w val="0.46147353455818024"/>
          <c:h val="0.76912255759696702"/>
        </c:manualLayout>
      </c:layout>
      <c:pieChart>
        <c:varyColors val="1"/>
        <c:ser>
          <c:idx val="0"/>
          <c:order val="0"/>
          <c:tx>
            <c:strRef>
              <c:f>Traitements!$B$10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59-4305-A513-AF41825690D7}"/>
              </c:ext>
            </c:extLst>
          </c:dPt>
          <c:dPt>
            <c:idx val="1"/>
            <c:bubble3D val="0"/>
            <c:spPr>
              <a:solidFill>
                <a:srgbClr val="FD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59-4305-A513-AF41825690D7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ED59-4305-A513-AF41825690D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F8-4BF5-BEF5-F33306F8BC0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ED59-4305-A513-AF41825690D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9F8-4BF5-BEF5-F33306F8BC04}"/>
              </c:ext>
            </c:extLst>
          </c:dPt>
          <c:dPt>
            <c:idx val="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D59-4305-A513-AF41825690D7}"/>
              </c:ext>
            </c:extLst>
          </c:dPt>
          <c:dPt>
            <c:idx val="7"/>
            <c:bubble3D val="0"/>
            <c:spPr>
              <a:solidFill>
                <a:srgbClr val="0E308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D59-4305-A513-AF41825690D7}"/>
              </c:ext>
            </c:extLst>
          </c:dPt>
          <c:dPt>
            <c:idx val="8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D59-4305-A513-AF41825690D7}"/>
              </c:ext>
            </c:extLst>
          </c:dPt>
          <c:dPt>
            <c:idx val="9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D59-4305-A513-AF41825690D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D59-4305-A513-AF41825690D7}"/>
              </c:ext>
            </c:extLst>
          </c:dPt>
          <c:cat>
            <c:strRef>
              <c:f>Traitements!$A$11:$A$22</c:f>
              <c:strCache>
                <c:ptCount val="11"/>
                <c:pt idx="0">
                  <c:v>ACCESSOIRE</c:v>
                </c:pt>
                <c:pt idx="1">
                  <c:v>ALIMENTAIRE</c:v>
                </c:pt>
                <c:pt idx="2">
                  <c:v>AUTOMOBILE</c:v>
                </c:pt>
                <c:pt idx="3">
                  <c:v>CONSTRUCTION</c:v>
                </c:pt>
                <c:pt idx="4">
                  <c:v>ELECTROMENAGER</c:v>
                </c:pt>
                <c:pt idx="5">
                  <c:v>ELECTRONIQUE</c:v>
                </c:pt>
                <c:pt idx="6">
                  <c:v>ENTRETIEN</c:v>
                </c:pt>
                <c:pt idx="7">
                  <c:v>FOURNITURE</c:v>
                </c:pt>
                <c:pt idx="8">
                  <c:v>INFORMATIQUE</c:v>
                </c:pt>
                <c:pt idx="9">
                  <c:v>RESEAU</c:v>
                </c:pt>
                <c:pt idx="10">
                  <c:v>SMARTPHONE</c:v>
                </c:pt>
              </c:strCache>
            </c:strRef>
          </c:cat>
          <c:val>
            <c:numRef>
              <c:f>Traitements!$B$11:$B$22</c:f>
              <c:numCache>
                <c:formatCode>General</c:formatCode>
                <c:ptCount val="11"/>
                <c:pt idx="0">
                  <c:v>1071</c:v>
                </c:pt>
                <c:pt idx="1">
                  <c:v>1560</c:v>
                </c:pt>
                <c:pt idx="2">
                  <c:v>493</c:v>
                </c:pt>
                <c:pt idx="3">
                  <c:v>1160</c:v>
                </c:pt>
                <c:pt idx="4">
                  <c:v>74</c:v>
                </c:pt>
                <c:pt idx="5">
                  <c:v>358</c:v>
                </c:pt>
                <c:pt idx="6">
                  <c:v>1320</c:v>
                </c:pt>
                <c:pt idx="7">
                  <c:v>2390</c:v>
                </c:pt>
                <c:pt idx="8">
                  <c:v>745</c:v>
                </c:pt>
                <c:pt idx="9">
                  <c:v>431</c:v>
                </c:pt>
                <c:pt idx="10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59-4305-A513-AF418256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Avancé.xlsm]Traitements!Sotck_E_Q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629921259842521"/>
          <c:y val="9.718173956579125E-2"/>
          <c:w val="0.61010269289551067"/>
          <c:h val="0.77673478676437124"/>
        </c:manualLayout>
      </c:layout>
      <c:pieChart>
        <c:varyColors val="1"/>
        <c:ser>
          <c:idx val="0"/>
          <c:order val="0"/>
          <c:tx>
            <c:strRef>
              <c:f>Traitements!$B$43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F7-4726-B478-491FE23A3E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F7-4726-B478-491FE23A3E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7F7-4726-B478-491FE23A3EC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7F7-4726-B478-491FE23A3EC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93-44AC-914B-2DE05E55B38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Traitements!$A$44:$A$49</c:f>
              <c:strCache>
                <c:ptCount val="5"/>
                <c:pt idx="0">
                  <c:v>ACCESSOIRE</c:v>
                </c:pt>
                <c:pt idx="1">
                  <c:v>ELECTRONIQUE</c:v>
                </c:pt>
                <c:pt idx="2">
                  <c:v>INFORMATIQUE</c:v>
                </c:pt>
                <c:pt idx="3">
                  <c:v>RESEAU</c:v>
                </c:pt>
                <c:pt idx="4">
                  <c:v>SMARTPHONE</c:v>
                </c:pt>
              </c:strCache>
            </c:strRef>
          </c:cat>
          <c:val>
            <c:numRef>
              <c:f>Traitements!$B$44:$B$49</c:f>
              <c:numCache>
                <c:formatCode>General</c:formatCode>
                <c:ptCount val="5"/>
                <c:pt idx="0">
                  <c:v>19</c:v>
                </c:pt>
                <c:pt idx="1">
                  <c:v>14</c:v>
                </c:pt>
                <c:pt idx="2">
                  <c:v>75</c:v>
                </c:pt>
                <c:pt idx="3">
                  <c:v>2</c:v>
                </c:pt>
                <c:pt idx="4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EF-4E05-9F5A-CAF29A18AE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Avancé.xlsm]Traitements!Stock_S_Q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Traitements!$B$65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F4-462A-AB47-F1B36A6E2F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DD-40A0-8D0E-870A59A6C65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DD-40A0-8D0E-870A59A6C6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Traitements!$A$66:$A$69</c:f>
              <c:strCache>
                <c:ptCount val="3"/>
                <c:pt idx="0">
                  <c:v>ELECTRONIQUE</c:v>
                </c:pt>
                <c:pt idx="1">
                  <c:v>RESEAU</c:v>
                </c:pt>
                <c:pt idx="2">
                  <c:v>SMARTPHONE</c:v>
                </c:pt>
              </c:strCache>
            </c:strRef>
          </c:cat>
          <c:val>
            <c:numRef>
              <c:f>Traitements!$B$66:$B$69</c:f>
              <c:numCache>
                <c:formatCode>0</c:formatCode>
                <c:ptCount val="3"/>
                <c:pt idx="0">
                  <c:v>6</c:v>
                </c:pt>
                <c:pt idx="1">
                  <c:v>21</c:v>
                </c:pt>
                <c:pt idx="2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C-43AF-B1CE-0AD4F328A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Traitements!$D$79:$D$84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Traitements!$E$79:$E$84</c:f>
              <c:numCache>
                <c:formatCode>General</c:formatCode>
                <c:ptCount val="6"/>
                <c:pt idx="0">
                  <c:v>4</c:v>
                </c:pt>
                <c:pt idx="1">
                  <c:v>409</c:v>
                </c:pt>
                <c:pt idx="2">
                  <c:v>12</c:v>
                </c:pt>
                <c:pt idx="3">
                  <c:v>102</c:v>
                </c:pt>
                <c:pt idx="4">
                  <c:v>3</c:v>
                </c:pt>
                <c:pt idx="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4-46CF-898B-76777054D35D}"/>
            </c:ext>
          </c:extLst>
        </c:ser>
        <c:ser>
          <c:idx val="1"/>
          <c:order val="1"/>
          <c:spPr>
            <a:solidFill>
              <a:srgbClr val="FDCC00"/>
            </a:solidFill>
            <a:ln>
              <a:noFill/>
            </a:ln>
            <a:effectLst/>
          </c:spPr>
          <c:invertIfNegative val="0"/>
          <c:cat>
            <c:strRef>
              <c:f>Traitements!$D$79:$D$84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Traitements!$F$79:$F$84</c:f>
              <c:numCache>
                <c:formatCode>General</c:formatCode>
                <c:ptCount val="6"/>
                <c:pt idx="0">
                  <c:v>0</c:v>
                </c:pt>
                <c:pt idx="1">
                  <c:v>409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04-46CF-898B-76777054D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1"/>
        <c:overlap val="100"/>
        <c:axId val="72941103"/>
        <c:axId val="72941583"/>
      </c:barChart>
      <c:catAx>
        <c:axId val="72941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941583"/>
        <c:crosses val="autoZero"/>
        <c:auto val="1"/>
        <c:lblAlgn val="ctr"/>
        <c:lblOffset val="100"/>
        <c:noMultiLvlLbl val="0"/>
      </c:catAx>
      <c:valAx>
        <c:axId val="7294158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7294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Traitements!$D$89:$D$93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Traitements!$E$89:$E$93</c:f>
              <c:numCache>
                <c:formatCode>General</c:formatCode>
                <c:ptCount val="5"/>
                <c:pt idx="0">
                  <c:v>352</c:v>
                </c:pt>
                <c:pt idx="1">
                  <c:v>158</c:v>
                </c:pt>
                <c:pt idx="2">
                  <c:v>23</c:v>
                </c:pt>
                <c:pt idx="3">
                  <c:v>65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6-4B35-A0EB-2AC7A8FAFE5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Traitements!$D$89:$D$93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Traitements!$F$89:$F$93</c:f>
              <c:numCache>
                <c:formatCode>General</c:formatCode>
                <c:ptCount val="5"/>
                <c:pt idx="0">
                  <c:v>352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C6-4B35-A0EB-2AC7A8FAF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9529599"/>
        <c:axId val="1189526239"/>
      </c:barChart>
      <c:catAx>
        <c:axId val="1189529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26239"/>
        <c:crosses val="autoZero"/>
        <c:auto val="1"/>
        <c:lblAlgn val="ctr"/>
        <c:lblOffset val="100"/>
        <c:noMultiLvlLbl val="0"/>
      </c:catAx>
      <c:valAx>
        <c:axId val="1189526239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89529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Avancé.xlsm]Traitements!Tableau croisé dynamique4</c:name>
    <c:fmtId val="0"/>
  </c:pivotSource>
  <c:chart>
    <c:autoTitleDeleted val="0"/>
    <c:pivotFmts>
      <c:pivotFmt>
        <c:idx val="0"/>
        <c:spPr>
          <a:gradFill>
            <a:gsLst>
              <a:gs pos="75000">
                <a:schemeClr val="bg1">
                  <a:lumMod val="25000"/>
                  <a:lumOff val="75000"/>
                  <a:alpha val="50000"/>
                </a:schemeClr>
              </a:gs>
              <a:gs pos="0">
                <a:srgbClr val="9AB4F4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60185185185185186"/>
          <c:w val="0.8472222222222221"/>
          <c:h val="0.29111913094196562"/>
        </c:manualLayout>
      </c:layout>
      <c:areaChart>
        <c:grouping val="standard"/>
        <c:varyColors val="0"/>
        <c:ser>
          <c:idx val="0"/>
          <c:order val="0"/>
          <c:tx>
            <c:strRef>
              <c:f>Traitements!$B$97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5000">
                  <a:schemeClr val="bg1">
                    <a:lumMod val="25000"/>
                    <a:lumOff val="75000"/>
                    <a:alpha val="50000"/>
                  </a:schemeClr>
                </a:gs>
                <a:gs pos="0">
                  <a:srgbClr val="9AB4F4"/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Traitements!$A$98:$A$104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Traitements!$B$98:$B$104</c:f>
              <c:numCache>
                <c:formatCode>_("CFA"* #,##0_);_("CFA"* \(#,##0\);_("CFA"* "-"_);_(@_)</c:formatCode>
                <c:ptCount val="6"/>
                <c:pt idx="0">
                  <c:v>1200000</c:v>
                </c:pt>
                <c:pt idx="1">
                  <c:v>139259000</c:v>
                </c:pt>
                <c:pt idx="2">
                  <c:v>1700000</c:v>
                </c:pt>
                <c:pt idx="3">
                  <c:v>25480000</c:v>
                </c:pt>
                <c:pt idx="4">
                  <c:v>1085000</c:v>
                </c:pt>
                <c:pt idx="5">
                  <c:v>29300000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B4-4E14-9A3E-4B290D558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1071"/>
        <c:axId val="27176351"/>
      </c:areaChart>
      <c:lineChart>
        <c:grouping val="standard"/>
        <c:varyColors val="0"/>
        <c:ser>
          <c:idx val="1"/>
          <c:order val="1"/>
          <c:tx>
            <c:strRef>
              <c:f>Traitements!$C$97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8575" cap="rnd">
              <a:solidFill>
                <a:srgbClr val="0E3083"/>
              </a:solidFill>
              <a:round/>
            </a:ln>
            <a:effectLst/>
          </c:spPr>
          <c:marker>
            <c:symbol val="none"/>
          </c:marker>
          <c:cat>
            <c:strRef>
              <c:f>Traitements!$A$98:$A$104</c:f>
              <c:strCache>
                <c:ptCount val="6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  <c:pt idx="5">
                  <c:v>Jul</c:v>
                </c:pt>
              </c:strCache>
            </c:strRef>
          </c:cat>
          <c:val>
            <c:numRef>
              <c:f>Traitements!$C$98:$C$104</c:f>
              <c:numCache>
                <c:formatCode>_("CFA"* #,##0_);_("CFA"* \(#,##0\);_("CFA"* "-"_);_(@_)</c:formatCode>
                <c:ptCount val="6"/>
                <c:pt idx="0">
                  <c:v>1200000</c:v>
                </c:pt>
                <c:pt idx="1">
                  <c:v>139259000</c:v>
                </c:pt>
                <c:pt idx="2">
                  <c:v>1700000</c:v>
                </c:pt>
                <c:pt idx="3">
                  <c:v>25480000</c:v>
                </c:pt>
                <c:pt idx="4">
                  <c:v>1085000</c:v>
                </c:pt>
                <c:pt idx="5">
                  <c:v>29300000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FB4-4E14-9A3E-4B290D558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71071"/>
        <c:axId val="27176351"/>
      </c:lineChart>
      <c:catAx>
        <c:axId val="27171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176351"/>
        <c:crosses val="autoZero"/>
        <c:auto val="1"/>
        <c:lblAlgn val="ctr"/>
        <c:lblOffset val="100"/>
        <c:noMultiLvlLbl val="0"/>
      </c:catAx>
      <c:valAx>
        <c:axId val="27176351"/>
        <c:scaling>
          <c:orientation val="minMax"/>
        </c:scaling>
        <c:delete val="1"/>
        <c:axPos val="l"/>
        <c:numFmt formatCode="_(&quot;CFA&quot;* #,##0_);_(&quot;CFA&quot;* \(#,##0\);_(&quot;CFA&quot;* &quot;-&quot;_);_(@_)" sourceLinked="1"/>
        <c:majorTickMark val="none"/>
        <c:minorTickMark val="none"/>
        <c:tickLblPos val="nextTo"/>
        <c:crossAx val="27171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Avancé.xlsm]Traitements!Tableau croisé dynamique6</c:name>
    <c:fmtId val="0"/>
  </c:pivotSource>
  <c:chart>
    <c:autoTitleDeleted val="0"/>
    <c:pivotFmts>
      <c:pivotFmt>
        <c:idx val="0"/>
        <c:spPr>
          <a:gradFill>
            <a:gsLst>
              <a:gs pos="75000">
                <a:schemeClr val="bg1">
                  <a:lumMod val="25000"/>
                  <a:lumOff val="75000"/>
                  <a:alpha val="50000"/>
                </a:schemeClr>
              </a:gs>
              <a:gs pos="0">
                <a:srgbClr val="9AB4F4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E308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805658972449738E-2"/>
          <c:y val="0.50822122571001493"/>
          <c:w val="0.9344750558451228"/>
          <c:h val="0.35953203159022168"/>
        </c:manualLayout>
      </c:layout>
      <c:areaChart>
        <c:grouping val="standard"/>
        <c:varyColors val="0"/>
        <c:ser>
          <c:idx val="0"/>
          <c:order val="0"/>
          <c:tx>
            <c:strRef>
              <c:f>Traitements!$B$107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5000">
                  <a:schemeClr val="bg1">
                    <a:lumMod val="25000"/>
                    <a:lumOff val="75000"/>
                    <a:alpha val="50000"/>
                  </a:schemeClr>
                </a:gs>
                <a:gs pos="0">
                  <a:srgbClr val="9AB4F4"/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Traitements!$A$108:$A$113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Traitements!$B$108:$B$113</c:f>
              <c:numCache>
                <c:formatCode>_("CFA"* #,##0_);_("CFA"* \(#,##0\);_("CFA"* "-"_);_(@_)</c:formatCode>
                <c:ptCount val="5"/>
                <c:pt idx="0">
                  <c:v>81717000</c:v>
                </c:pt>
                <c:pt idx="1">
                  <c:v>35200000</c:v>
                </c:pt>
                <c:pt idx="2">
                  <c:v>9000000</c:v>
                </c:pt>
                <c:pt idx="3">
                  <c:v>16250000</c:v>
                </c:pt>
                <c:pt idx="4">
                  <c:v>6250000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44-4EE5-AD0F-12D033FD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053983"/>
        <c:axId val="1058053023"/>
      </c:areaChart>
      <c:lineChart>
        <c:grouping val="standard"/>
        <c:varyColors val="0"/>
        <c:ser>
          <c:idx val="1"/>
          <c:order val="1"/>
          <c:tx>
            <c:strRef>
              <c:f>Traitements!$C$107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8575" cap="rnd">
              <a:solidFill>
                <a:srgbClr val="0E3083"/>
              </a:solidFill>
              <a:round/>
            </a:ln>
            <a:effectLst/>
          </c:spPr>
          <c:marker>
            <c:symbol val="none"/>
          </c:marker>
          <c:cat>
            <c:strRef>
              <c:f>Traitements!$A$108:$A$113</c:f>
              <c:strCache>
                <c:ptCount val="5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</c:strCache>
            </c:strRef>
          </c:cat>
          <c:val>
            <c:numRef>
              <c:f>Traitements!$C$108:$C$113</c:f>
              <c:numCache>
                <c:formatCode>_("CFA"* #,##0_);_("CFA"* \(#,##0\);_("CFA"* "-"_);_(@_)</c:formatCode>
                <c:ptCount val="5"/>
                <c:pt idx="0">
                  <c:v>81717000</c:v>
                </c:pt>
                <c:pt idx="1">
                  <c:v>35200000</c:v>
                </c:pt>
                <c:pt idx="2">
                  <c:v>9000000</c:v>
                </c:pt>
                <c:pt idx="3">
                  <c:v>16250000</c:v>
                </c:pt>
                <c:pt idx="4">
                  <c:v>6250000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C44-4EE5-AD0F-12D033FD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8053983"/>
        <c:axId val="1058053023"/>
      </c:lineChart>
      <c:catAx>
        <c:axId val="1058053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58053023"/>
        <c:crosses val="autoZero"/>
        <c:auto val="1"/>
        <c:lblAlgn val="ctr"/>
        <c:lblOffset val="100"/>
        <c:noMultiLvlLbl val="0"/>
      </c:catAx>
      <c:valAx>
        <c:axId val="1058053023"/>
        <c:scaling>
          <c:orientation val="minMax"/>
        </c:scaling>
        <c:delete val="1"/>
        <c:axPos val="l"/>
        <c:numFmt formatCode="_(&quot;CFA&quot;* #,##0_);_(&quot;CFA&quot;* \(#,##0\);_(&quot;CFA&quot;* &quot;-&quot;_);_(@_)" sourceLinked="1"/>
        <c:majorTickMark val="none"/>
        <c:minorTickMark val="none"/>
        <c:tickLblPos val="nextTo"/>
        <c:crossAx val="105805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stock  - Excel Avancé.xlsm]Traitements!Tableau croisé dynamique7</c:name>
    <c:fmtId val="13"/>
  </c:pivotSource>
  <c:chart>
    <c:autoTitleDeleted val="1"/>
    <c:pivotFmts>
      <c:pivotFmt>
        <c:idx val="0"/>
        <c:spPr>
          <a:solidFill>
            <a:srgbClr val="0E30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E3083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Traitements!$B$121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E3083"/>
            </a:solidFill>
            <a:ln>
              <a:noFill/>
            </a:ln>
            <a:effectLst/>
          </c:spPr>
          <c:invertIfNegative val="0"/>
          <c:cat>
            <c:strRef>
              <c:f>Traitements!$A$122:$A$125</c:f>
              <c:strCache>
                <c:ptCount val="3"/>
                <c:pt idx="0">
                  <c:v>IPHONE 13</c:v>
                </c:pt>
                <c:pt idx="1">
                  <c:v>IPHONE</c:v>
                </c:pt>
                <c:pt idx="2">
                  <c:v>SAMSUNG A55</c:v>
                </c:pt>
              </c:strCache>
            </c:strRef>
          </c:cat>
          <c:val>
            <c:numRef>
              <c:f>Traitements!$B$122:$B$125</c:f>
              <c:numCache>
                <c:formatCode>_("CFA"* #,##0_);_("CFA"* \(#,##0\);_("CFA"* "-"_);_(@_)</c:formatCode>
                <c:ptCount val="3"/>
                <c:pt idx="0">
                  <c:v>31350000</c:v>
                </c:pt>
                <c:pt idx="1">
                  <c:v>53500000</c:v>
                </c:pt>
                <c:pt idx="2">
                  <c:v>65500000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29-4361-9FEA-4B14ECE7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84824927"/>
        <c:axId val="384825887"/>
      </c:barChart>
      <c:catAx>
        <c:axId val="3848249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4825887"/>
        <c:crosses val="autoZero"/>
        <c:auto val="1"/>
        <c:lblAlgn val="ctr"/>
        <c:lblOffset val="100"/>
        <c:noMultiLvlLbl val="0"/>
      </c:catAx>
      <c:valAx>
        <c:axId val="384825887"/>
        <c:scaling>
          <c:orientation val="minMax"/>
        </c:scaling>
        <c:delete val="1"/>
        <c:axPos val="b"/>
        <c:numFmt formatCode="_(&quot;CFA&quot;* #,##0_);_(&quot;CFA&quot;* \(#,##0\);_(&quot;CFA&quot;* &quot;-&quot;_);_(@_)" sourceLinked="1"/>
        <c:majorTickMark val="none"/>
        <c:minorTickMark val="none"/>
        <c:tickLblPos val="nextTo"/>
        <c:crossAx val="384824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12" Type="http://schemas.openxmlformats.org/officeDocument/2006/relationships/chart" Target="../charts/chart8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chart" Target="../charts/chart7.xml"/><Relationship Id="rId5" Type="http://schemas.openxmlformats.org/officeDocument/2006/relationships/chart" Target="../charts/chart1.xml"/><Relationship Id="rId10" Type="http://schemas.openxmlformats.org/officeDocument/2006/relationships/chart" Target="../charts/chart6.xml"/><Relationship Id="rId4" Type="http://schemas.openxmlformats.org/officeDocument/2006/relationships/image" Target="../media/image4.svg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254000</xdr:colOff>
      <xdr:row>0</xdr:row>
      <xdr:rowOff>209550</xdr:rowOff>
    </xdr:from>
    <xdr:to>
      <xdr:col>5</xdr:col>
      <xdr:colOff>171450</xdr:colOff>
      <xdr:row>3</xdr:row>
      <xdr:rowOff>133600</xdr:rowOff>
    </xdr:to>
    <xdr:sp macro="" textlink="Traitements!A2">
      <xdr:nvSpPr>
        <xdr:cNvPr id="2" name="Rectangle : coins arrondis 1">
          <a:extLst>
            <a:ext uri="{FF2B5EF4-FFF2-40B4-BE49-F238E27FC236}">
              <a16:creationId xmlns:a16="http://schemas.microsoft.com/office/drawing/2014/main" id="{70C0C7AA-DC07-E4B7-552A-EDB5BE9B4C08}"/>
            </a:ext>
          </a:extLst>
        </xdr:cNvPr>
        <xdr:cNvSpPr/>
      </xdr:nvSpPr>
      <xdr:spPr>
        <a:xfrm>
          <a:off x="2324100" y="209550"/>
          <a:ext cx="1441450" cy="540000"/>
        </a:xfrm>
        <a:prstGeom prst="roundRect">
          <a:avLst/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19CF3B77-C07D-481D-BF46-C902FC168FE7}" type="TxLink">
            <a:rPr lang="en-US" sz="1400" b="1" i="0" u="none" strike="noStrike">
              <a:solidFill>
                <a:schemeClr val="bg1"/>
              </a:solidFill>
              <a:latin typeface="Bahnschrift SemiBold SemiConden" panose="020B0502040204020203" pitchFamily="34" charset="0"/>
            </a:rPr>
            <a:pPr algn="l"/>
            <a:t>9943</a:t>
          </a:fld>
          <a:endParaRPr lang="fr-CI" sz="1400" b="1">
            <a:solidFill>
              <a:schemeClr val="bg1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5</xdr:col>
      <xdr:colOff>6350</xdr:colOff>
      <xdr:row>0</xdr:row>
      <xdr:rowOff>209550</xdr:rowOff>
    </xdr:from>
    <xdr:to>
      <xdr:col>7</xdr:col>
      <xdr:colOff>234950</xdr:colOff>
      <xdr:row>3</xdr:row>
      <xdr:rowOff>133600</xdr:rowOff>
    </xdr:to>
    <xdr:sp macro="" textlink="Traitements!B2">
      <xdr:nvSpPr>
        <xdr:cNvPr id="8" name="Rectangle : coins arrondis 7">
          <a:extLst>
            <a:ext uri="{FF2B5EF4-FFF2-40B4-BE49-F238E27FC236}">
              <a16:creationId xmlns:a16="http://schemas.microsoft.com/office/drawing/2014/main" id="{EC0049F0-8FBB-A5A4-069A-43C649217FDF}"/>
            </a:ext>
          </a:extLst>
        </xdr:cNvPr>
        <xdr:cNvSpPr/>
      </xdr:nvSpPr>
      <xdr:spPr>
        <a:xfrm>
          <a:off x="3600450" y="209550"/>
          <a:ext cx="1752600" cy="540000"/>
        </a:xfrm>
        <a:prstGeom prst="roundRect">
          <a:avLst>
            <a:gd name="adj" fmla="val 26074"/>
          </a:avLst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A3258A8B-8253-4CE1-B77A-BF8F601E488D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</a:rPr>
            <a:pPr algn="l"/>
            <a:t> 185 902 000 CFA </a:t>
          </a:fld>
          <a:endParaRPr lang="fr-CI" sz="1400">
            <a:solidFill>
              <a:schemeClr val="bg1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</xdr:col>
      <xdr:colOff>260350</xdr:colOff>
      <xdr:row>0</xdr:row>
      <xdr:rowOff>209550</xdr:rowOff>
    </xdr:from>
    <xdr:to>
      <xdr:col>9</xdr:col>
      <xdr:colOff>398700</xdr:colOff>
      <xdr:row>3</xdr:row>
      <xdr:rowOff>133600</xdr:rowOff>
    </xdr:to>
    <xdr:sp macro="" textlink="Traitements!A5">
      <xdr:nvSpPr>
        <xdr:cNvPr id="9" name="Rectangle : coins arrondis 8">
          <a:extLst>
            <a:ext uri="{FF2B5EF4-FFF2-40B4-BE49-F238E27FC236}">
              <a16:creationId xmlns:a16="http://schemas.microsoft.com/office/drawing/2014/main" id="{F3BED834-4E17-6F17-B869-E6AB780B03EF}"/>
            </a:ext>
          </a:extLst>
        </xdr:cNvPr>
        <xdr:cNvSpPr/>
      </xdr:nvSpPr>
      <xdr:spPr>
        <a:xfrm>
          <a:off x="5378450" y="209550"/>
          <a:ext cx="1662350" cy="540000"/>
        </a:xfrm>
        <a:prstGeom prst="roundRect">
          <a:avLst>
            <a:gd name="adj" fmla="val 16667"/>
          </a:avLst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81C7E575-D34E-4204-ACF4-A6D9CF0FAFAB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  <a:ea typeface="+mn-ea"/>
              <a:cs typeface="+mn-cs"/>
            </a:rPr>
            <a:pPr marL="0" indent="0" algn="l"/>
            <a:t>540</a:t>
          </a:fld>
          <a:endParaRPr lang="fr-CI" sz="1400" b="0" i="0" u="none" strike="noStrike">
            <a:solidFill>
              <a:schemeClr val="bg1"/>
            </a:solidFill>
            <a:latin typeface="Bahnschrift SemiBold SemiConden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76200</xdr:colOff>
      <xdr:row>0</xdr:row>
      <xdr:rowOff>209550</xdr:rowOff>
    </xdr:from>
    <xdr:to>
      <xdr:col>11</xdr:col>
      <xdr:colOff>208200</xdr:colOff>
      <xdr:row>3</xdr:row>
      <xdr:rowOff>133600</xdr:rowOff>
    </xdr:to>
    <xdr:sp macro="" textlink="Traitements!B5">
      <xdr:nvSpPr>
        <xdr:cNvPr id="10" name="Rectangle : coins arrondis 9">
          <a:extLst>
            <a:ext uri="{FF2B5EF4-FFF2-40B4-BE49-F238E27FC236}">
              <a16:creationId xmlns:a16="http://schemas.microsoft.com/office/drawing/2014/main" id="{A30CEF32-AAEE-815B-178F-BA1D482A67C2}"/>
            </a:ext>
          </a:extLst>
        </xdr:cNvPr>
        <xdr:cNvSpPr/>
      </xdr:nvSpPr>
      <xdr:spPr>
        <a:xfrm>
          <a:off x="6713747" y="209550"/>
          <a:ext cx="1653604" cy="541078"/>
        </a:xfrm>
        <a:prstGeom prst="roundRect">
          <a:avLst/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D13546A4-0671-4EF9-9FA0-6E76B702DFA1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  <a:ea typeface="+mn-ea"/>
              <a:cs typeface="+mn-cs"/>
            </a:rPr>
            <a:pPr marL="0" indent="0" algn="l"/>
            <a:t>169460000</a:t>
          </a:fld>
          <a:endParaRPr lang="fr-CI" sz="1400" b="0" i="0" u="none" strike="noStrike">
            <a:solidFill>
              <a:schemeClr val="bg1"/>
            </a:solidFill>
            <a:latin typeface="Bahnschrift SemiBold SemiConden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234950</xdr:colOff>
      <xdr:row>0</xdr:row>
      <xdr:rowOff>209550</xdr:rowOff>
    </xdr:from>
    <xdr:to>
      <xdr:col>13</xdr:col>
      <xdr:colOff>328850</xdr:colOff>
      <xdr:row>3</xdr:row>
      <xdr:rowOff>133600</xdr:rowOff>
    </xdr:to>
    <xdr:sp macro="" textlink="Traitements!A8">
      <xdr:nvSpPr>
        <xdr:cNvPr id="11" name="Rectangle : coins arrondis 10">
          <a:extLst>
            <a:ext uri="{FF2B5EF4-FFF2-40B4-BE49-F238E27FC236}">
              <a16:creationId xmlns:a16="http://schemas.microsoft.com/office/drawing/2014/main" id="{8D8FC014-7F27-3DC2-C122-7DA713CC5303}"/>
            </a:ext>
          </a:extLst>
        </xdr:cNvPr>
        <xdr:cNvSpPr/>
      </xdr:nvSpPr>
      <xdr:spPr>
        <a:xfrm>
          <a:off x="8401050" y="209550"/>
          <a:ext cx="1617900" cy="540000"/>
        </a:xfrm>
        <a:prstGeom prst="roundRect">
          <a:avLst/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20510DC3-FBDF-4270-8BF5-E78D968A4A81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  <a:ea typeface="+mn-ea"/>
              <a:cs typeface="+mn-cs"/>
            </a:rPr>
            <a:pPr marL="0" indent="0" algn="l"/>
            <a:t>623</a:t>
          </a:fld>
          <a:endParaRPr lang="fr-CI" sz="1400" b="0" i="0" u="none" strike="noStrike">
            <a:solidFill>
              <a:schemeClr val="bg1"/>
            </a:solidFill>
            <a:latin typeface="Bahnschrift SemiBold SemiConden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742950</xdr:colOff>
      <xdr:row>0</xdr:row>
      <xdr:rowOff>209550</xdr:rowOff>
    </xdr:from>
    <xdr:to>
      <xdr:col>15</xdr:col>
      <xdr:colOff>273050</xdr:colOff>
      <xdr:row>3</xdr:row>
      <xdr:rowOff>133600</xdr:rowOff>
    </xdr:to>
    <xdr:sp macro="" textlink="Traitements!B8">
      <xdr:nvSpPr>
        <xdr:cNvPr id="12" name="Rectangle : coins arrondis 11">
          <a:extLst>
            <a:ext uri="{FF2B5EF4-FFF2-40B4-BE49-F238E27FC236}">
              <a16:creationId xmlns:a16="http://schemas.microsoft.com/office/drawing/2014/main" id="{80D646E9-DF35-3E7C-A24E-9E059067795B}"/>
            </a:ext>
          </a:extLst>
        </xdr:cNvPr>
        <xdr:cNvSpPr/>
      </xdr:nvSpPr>
      <xdr:spPr>
        <a:xfrm>
          <a:off x="9671050" y="209550"/>
          <a:ext cx="1816100" cy="540000"/>
        </a:xfrm>
        <a:prstGeom prst="roundRect">
          <a:avLst/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l"/>
          <a:fld id="{A554BCF3-6E13-46E2-90DE-4C9A6676AAC6}" type="TxLink">
            <a:rPr lang="en-US" sz="1400" b="0" i="0" u="none" strike="noStrike">
              <a:solidFill>
                <a:schemeClr val="bg1"/>
              </a:solidFill>
              <a:latin typeface="Bahnschrift SemiBold SemiConden" panose="020B0502040204020203" pitchFamily="34" charset="0"/>
              <a:ea typeface="+mn-ea"/>
              <a:cs typeface="+mn-cs"/>
            </a:rPr>
            <a:pPr marL="0" indent="0" algn="l"/>
            <a:t>148417000</a:t>
          </a:fld>
          <a:endParaRPr lang="fr-CI" sz="1400" b="0" i="0" u="none" strike="noStrike">
            <a:solidFill>
              <a:schemeClr val="bg1"/>
            </a:solidFill>
            <a:latin typeface="Bahnschrift SemiBold SemiConden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285750</xdr:colOff>
      <xdr:row>3</xdr:row>
      <xdr:rowOff>146050</xdr:rowOff>
    </xdr:from>
    <xdr:to>
      <xdr:col>15</xdr:col>
      <xdr:colOff>273050</xdr:colOff>
      <xdr:row>10</xdr:row>
      <xdr:rowOff>37591</xdr:rowOff>
    </xdr:to>
    <xdr:sp macro="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D70CA2C7-CE4A-FBBB-4E53-6F6F027B070F}"/>
            </a:ext>
          </a:extLst>
        </xdr:cNvPr>
        <xdr:cNvSpPr/>
      </xdr:nvSpPr>
      <xdr:spPr>
        <a:xfrm>
          <a:off x="5403850" y="762000"/>
          <a:ext cx="6083300" cy="1180591"/>
        </a:xfrm>
        <a:prstGeom prst="roundRect">
          <a:avLst>
            <a:gd name="adj" fmla="val 1124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I" sz="1100"/>
            <a:t> </a:t>
          </a:r>
        </a:p>
      </xdr:txBody>
    </xdr:sp>
    <xdr:clientData/>
  </xdr:twoCellAnchor>
  <xdr:twoCellAnchor>
    <xdr:from>
      <xdr:col>3</xdr:col>
      <xdr:colOff>266700</xdr:colOff>
      <xdr:row>10</xdr:row>
      <xdr:rowOff>95250</xdr:rowOff>
    </xdr:from>
    <xdr:to>
      <xdr:col>7</xdr:col>
      <xdr:colOff>242700</xdr:colOff>
      <xdr:row>16</xdr:row>
      <xdr:rowOff>178350</xdr:rowOff>
    </xdr:to>
    <xdr:sp macro="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2D030A80-F201-83F5-2744-6DBBCD009AB6}"/>
            </a:ext>
          </a:extLst>
        </xdr:cNvPr>
        <xdr:cNvSpPr/>
      </xdr:nvSpPr>
      <xdr:spPr>
        <a:xfrm>
          <a:off x="2336800" y="2000250"/>
          <a:ext cx="3024000" cy="1188000"/>
        </a:xfrm>
        <a:prstGeom prst="roundRect">
          <a:avLst>
            <a:gd name="adj" fmla="val 11240"/>
          </a:avLst>
        </a:prstGeom>
        <a:solidFill>
          <a:srgbClr val="D9E3FB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7</xdr:col>
      <xdr:colOff>285750</xdr:colOff>
      <xdr:row>10</xdr:row>
      <xdr:rowOff>107950</xdr:rowOff>
    </xdr:from>
    <xdr:to>
      <xdr:col>11</xdr:col>
      <xdr:colOff>261750</xdr:colOff>
      <xdr:row>17</xdr:row>
      <xdr:rowOff>6900</xdr:rowOff>
    </xdr:to>
    <xdr:sp macro="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197D762D-3A4E-291D-5C6B-6E55585932D5}"/>
            </a:ext>
          </a:extLst>
        </xdr:cNvPr>
        <xdr:cNvSpPr/>
      </xdr:nvSpPr>
      <xdr:spPr>
        <a:xfrm>
          <a:off x="5403850" y="2012950"/>
          <a:ext cx="3024000" cy="1188000"/>
        </a:xfrm>
        <a:prstGeom prst="roundRect">
          <a:avLst>
            <a:gd name="adj" fmla="val 1124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11</xdr:col>
      <xdr:colOff>285750</xdr:colOff>
      <xdr:row>10</xdr:row>
      <xdr:rowOff>107950</xdr:rowOff>
    </xdr:from>
    <xdr:to>
      <xdr:col>15</xdr:col>
      <xdr:colOff>225750</xdr:colOff>
      <xdr:row>17</xdr:row>
      <xdr:rowOff>6900</xdr:rowOff>
    </xdr:to>
    <xdr:sp macro="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823A77C7-3BB9-4D4A-D9A6-CEB35822EB71}"/>
            </a:ext>
          </a:extLst>
        </xdr:cNvPr>
        <xdr:cNvSpPr/>
      </xdr:nvSpPr>
      <xdr:spPr>
        <a:xfrm>
          <a:off x="8451850" y="2012950"/>
          <a:ext cx="2988000" cy="1188000"/>
        </a:xfrm>
        <a:prstGeom prst="roundRect">
          <a:avLst>
            <a:gd name="adj" fmla="val 1124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3</xdr:col>
      <xdr:colOff>266700</xdr:colOff>
      <xdr:row>17</xdr:row>
      <xdr:rowOff>38100</xdr:rowOff>
    </xdr:from>
    <xdr:to>
      <xdr:col>7</xdr:col>
      <xdr:colOff>242700</xdr:colOff>
      <xdr:row>23</xdr:row>
      <xdr:rowOff>121200</xdr:rowOff>
    </xdr:to>
    <xdr:sp macro="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2D8F3D6C-C0CB-44BF-85E5-C6193AF75B36}"/>
            </a:ext>
          </a:extLst>
        </xdr:cNvPr>
        <xdr:cNvSpPr/>
      </xdr:nvSpPr>
      <xdr:spPr>
        <a:xfrm>
          <a:off x="2336800" y="3232150"/>
          <a:ext cx="3024000" cy="1188000"/>
        </a:xfrm>
        <a:prstGeom prst="roundRect">
          <a:avLst>
            <a:gd name="adj" fmla="val 11240"/>
          </a:avLst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7</xdr:col>
      <xdr:colOff>285750</xdr:colOff>
      <xdr:row>17</xdr:row>
      <xdr:rowOff>50800</xdr:rowOff>
    </xdr:from>
    <xdr:to>
      <xdr:col>11</xdr:col>
      <xdr:colOff>261750</xdr:colOff>
      <xdr:row>23</xdr:row>
      <xdr:rowOff>133900</xdr:rowOff>
    </xdr:to>
    <xdr:sp macro="" textlink="">
      <xdr:nvSpPr>
        <xdr:cNvPr id="25" name="Rectangle : coins arrondis 24">
          <a:extLst>
            <a:ext uri="{FF2B5EF4-FFF2-40B4-BE49-F238E27FC236}">
              <a16:creationId xmlns:a16="http://schemas.microsoft.com/office/drawing/2014/main" id="{B6EEC675-8D79-4B17-8F4E-E93E09BBDD56}"/>
            </a:ext>
          </a:extLst>
        </xdr:cNvPr>
        <xdr:cNvSpPr/>
      </xdr:nvSpPr>
      <xdr:spPr>
        <a:xfrm>
          <a:off x="5403850" y="3244850"/>
          <a:ext cx="3024000" cy="1188000"/>
        </a:xfrm>
        <a:prstGeom prst="roundRect">
          <a:avLst>
            <a:gd name="adj" fmla="val 1124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11</xdr:col>
      <xdr:colOff>285750</xdr:colOff>
      <xdr:row>17</xdr:row>
      <xdr:rowOff>50800</xdr:rowOff>
    </xdr:from>
    <xdr:to>
      <xdr:col>15</xdr:col>
      <xdr:colOff>225750</xdr:colOff>
      <xdr:row>23</xdr:row>
      <xdr:rowOff>133900</xdr:rowOff>
    </xdr:to>
    <xdr:sp macro="" textlink="">
      <xdr:nvSpPr>
        <xdr:cNvPr id="26" name="Rectangle : coins arrondis 25">
          <a:extLst>
            <a:ext uri="{FF2B5EF4-FFF2-40B4-BE49-F238E27FC236}">
              <a16:creationId xmlns:a16="http://schemas.microsoft.com/office/drawing/2014/main" id="{07C563F1-EAF5-41F5-BF82-86C6317D5BCF}"/>
            </a:ext>
          </a:extLst>
        </xdr:cNvPr>
        <xdr:cNvSpPr/>
      </xdr:nvSpPr>
      <xdr:spPr>
        <a:xfrm>
          <a:off x="8451850" y="3244850"/>
          <a:ext cx="2988000" cy="1188000"/>
        </a:xfrm>
        <a:prstGeom prst="roundRect">
          <a:avLst>
            <a:gd name="adj" fmla="val 1124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3</xdr:col>
      <xdr:colOff>285750</xdr:colOff>
      <xdr:row>0</xdr:row>
      <xdr:rowOff>215900</xdr:rowOff>
    </xdr:from>
    <xdr:to>
      <xdr:col>4</xdr:col>
      <xdr:colOff>660400</xdr:colOff>
      <xdr:row>2</xdr:row>
      <xdr:rowOff>31750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1EB0A819-C861-FB21-BEB6-E40C059F4044}"/>
            </a:ext>
          </a:extLst>
        </xdr:cNvPr>
        <xdr:cNvSpPr txBox="1"/>
      </xdr:nvSpPr>
      <xdr:spPr>
        <a:xfrm>
          <a:off x="2355850" y="215900"/>
          <a:ext cx="11366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Stok total</a:t>
          </a:r>
        </a:p>
      </xdr:txBody>
    </xdr:sp>
    <xdr:clientData/>
  </xdr:twoCellAnchor>
  <xdr:twoCellAnchor>
    <xdr:from>
      <xdr:col>5</xdr:col>
      <xdr:colOff>95249</xdr:colOff>
      <xdr:row>0</xdr:row>
      <xdr:rowOff>222250</xdr:rowOff>
    </xdr:from>
    <xdr:to>
      <xdr:col>6</xdr:col>
      <xdr:colOff>521178</xdr:colOff>
      <xdr:row>2</xdr:row>
      <xdr:rowOff>38100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C7C8C1CF-9A5B-2DD9-84FA-4ED14CF37AAE}"/>
            </a:ext>
          </a:extLst>
        </xdr:cNvPr>
        <xdr:cNvSpPr txBox="1"/>
      </xdr:nvSpPr>
      <xdr:spPr>
        <a:xfrm>
          <a:off x="3689589" y="222250"/>
          <a:ext cx="1186731" cy="247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Valeur</a:t>
          </a:r>
          <a:r>
            <a:rPr lang="fr-CI" sz="1100" b="1" baseline="0">
              <a:solidFill>
                <a:schemeClr val="bg1"/>
              </a:solidFill>
              <a:latin typeface="Bahnschrift SemiBold" panose="020B0502040204020203" pitchFamily="34" charset="0"/>
            </a:rPr>
            <a:t> de stock</a:t>
          </a:r>
          <a:endParaRPr lang="fr-CI" sz="1100" b="1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13</xdr:col>
      <xdr:colOff>31750</xdr:colOff>
      <xdr:row>1</xdr:row>
      <xdr:rowOff>0</xdr:rowOff>
    </xdr:from>
    <xdr:to>
      <xdr:col>14</xdr:col>
      <xdr:colOff>664952</xdr:colOff>
      <xdr:row>2</xdr:row>
      <xdr:rowOff>64250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8D0BFF50-6E0C-571C-5C61-72D0FF31FEA4}"/>
            </a:ext>
          </a:extLst>
        </xdr:cNvPr>
        <xdr:cNvSpPr txBox="1"/>
      </xdr:nvSpPr>
      <xdr:spPr>
        <a:xfrm>
          <a:off x="9712505" y="245613"/>
          <a:ext cx="1394004" cy="2499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Valeur</a:t>
          </a:r>
          <a:r>
            <a:rPr lang="fr-CI" sz="1100" b="1" baseline="0">
              <a:solidFill>
                <a:schemeClr val="bg1"/>
              </a:solidFill>
              <a:latin typeface="Bahnschrift SemiBold" panose="020B0502040204020203" pitchFamily="34" charset="0"/>
            </a:rPr>
            <a:t> des sorties</a:t>
          </a:r>
          <a:endParaRPr lang="fr-CI" sz="1100" b="1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7</xdr:col>
      <xdr:colOff>260350</xdr:colOff>
      <xdr:row>0</xdr:row>
      <xdr:rowOff>241300</xdr:rowOff>
    </xdr:from>
    <xdr:to>
      <xdr:col>9</xdr:col>
      <xdr:colOff>65896</xdr:colOff>
      <xdr:row>2</xdr:row>
      <xdr:rowOff>57900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B531FA94-8BE5-37CB-3574-707FF36738AC}"/>
            </a:ext>
          </a:extLst>
        </xdr:cNvPr>
        <xdr:cNvSpPr txBox="1"/>
      </xdr:nvSpPr>
      <xdr:spPr>
        <a:xfrm>
          <a:off x="5376293" y="241300"/>
          <a:ext cx="1327150" cy="2479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Total</a:t>
          </a:r>
          <a:r>
            <a:rPr lang="fr-CI" sz="1100" b="1" baseline="0">
              <a:solidFill>
                <a:schemeClr val="bg1"/>
              </a:solidFill>
              <a:latin typeface="Bahnschrift SemiBold" panose="020B0502040204020203" pitchFamily="34" charset="0"/>
            </a:rPr>
            <a:t> des entrées</a:t>
          </a:r>
          <a:endParaRPr lang="fr-CI" sz="1100" b="1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9</xdr:col>
      <xdr:colOff>114300</xdr:colOff>
      <xdr:row>1</xdr:row>
      <xdr:rowOff>0</xdr:rowOff>
    </xdr:from>
    <xdr:to>
      <xdr:col>10</xdr:col>
      <xdr:colOff>749300</xdr:colOff>
      <xdr:row>2</xdr:row>
      <xdr:rowOff>63500</xdr:rowOff>
    </xdr:to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63E70955-2364-F1D6-857F-51968F9850A4}"/>
            </a:ext>
          </a:extLst>
        </xdr:cNvPr>
        <xdr:cNvSpPr txBox="1"/>
      </xdr:nvSpPr>
      <xdr:spPr>
        <a:xfrm>
          <a:off x="6756400" y="247650"/>
          <a:ext cx="13970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Valeur</a:t>
          </a:r>
          <a:r>
            <a:rPr lang="fr-CI" sz="1100" b="1" baseline="0">
              <a:solidFill>
                <a:schemeClr val="bg1"/>
              </a:solidFill>
              <a:latin typeface="Bahnschrift SemiBold" panose="020B0502040204020203" pitchFamily="34" charset="0"/>
            </a:rPr>
            <a:t> des entrées</a:t>
          </a:r>
          <a:endParaRPr lang="fr-CI" sz="1100" b="1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>
    <xdr:from>
      <xdr:col>11</xdr:col>
      <xdr:colOff>184150</xdr:colOff>
      <xdr:row>0</xdr:row>
      <xdr:rowOff>241300</xdr:rowOff>
    </xdr:from>
    <xdr:to>
      <xdr:col>12</xdr:col>
      <xdr:colOff>742950</xdr:colOff>
      <xdr:row>2</xdr:row>
      <xdr:rowOff>57900</xdr:rowOff>
    </xdr:to>
    <xdr:sp macro="" textlink="">
      <xdr:nvSpPr>
        <xdr:cNvPr id="32" name="ZoneTexte 31">
          <a:extLst>
            <a:ext uri="{FF2B5EF4-FFF2-40B4-BE49-F238E27FC236}">
              <a16:creationId xmlns:a16="http://schemas.microsoft.com/office/drawing/2014/main" id="{85E15ACD-7D67-9254-16C6-BD921FA6BBEE}"/>
            </a:ext>
          </a:extLst>
        </xdr:cNvPr>
        <xdr:cNvSpPr txBox="1"/>
      </xdr:nvSpPr>
      <xdr:spPr>
        <a:xfrm>
          <a:off x="8350250" y="241300"/>
          <a:ext cx="1320800" cy="248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100" b="1">
              <a:solidFill>
                <a:schemeClr val="bg1"/>
              </a:solidFill>
              <a:latin typeface="Bahnschrift SemiBold" panose="020B0502040204020203" pitchFamily="34" charset="0"/>
            </a:rPr>
            <a:t>Total</a:t>
          </a:r>
          <a:r>
            <a:rPr lang="fr-CI" sz="1100" b="1" baseline="0">
              <a:solidFill>
                <a:schemeClr val="bg1"/>
              </a:solidFill>
              <a:latin typeface="Bahnschrift SemiBold" panose="020B0502040204020203" pitchFamily="34" charset="0"/>
            </a:rPr>
            <a:t> des sorties</a:t>
          </a:r>
          <a:endParaRPr lang="fr-CI" sz="1100" b="1">
            <a:solidFill>
              <a:schemeClr val="bg1"/>
            </a:solidFill>
            <a:latin typeface="Bahnschrift SemiBold" panose="020B0502040204020203" pitchFamily="34" charset="0"/>
          </a:endParaRPr>
        </a:p>
      </xdr:txBody>
    </xdr:sp>
    <xdr:clientData/>
  </xdr:twoCellAnchor>
  <xdr:twoCellAnchor editAs="oneCell">
    <xdr:from>
      <xdr:col>4</xdr:col>
      <xdr:colOff>495300</xdr:colOff>
      <xdr:row>1</xdr:row>
      <xdr:rowOff>76200</xdr:rowOff>
    </xdr:from>
    <xdr:to>
      <xdr:col>5</xdr:col>
      <xdr:colOff>31750</xdr:colOff>
      <xdr:row>3</xdr:row>
      <xdr:rowOff>6350</xdr:rowOff>
    </xdr:to>
    <xdr:pic>
      <xdr:nvPicPr>
        <xdr:cNvPr id="4" name="Graphique 3" descr="Chariot de courses avec un remplissage uni">
          <a:extLst>
            <a:ext uri="{FF2B5EF4-FFF2-40B4-BE49-F238E27FC236}">
              <a16:creationId xmlns:a16="http://schemas.microsoft.com/office/drawing/2014/main" id="{9E050928-3388-FBA3-46CB-25C4DA808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27400" y="323850"/>
          <a:ext cx="298450" cy="298450"/>
        </a:xfrm>
        <a:prstGeom prst="rect">
          <a:avLst/>
        </a:prstGeom>
      </xdr:spPr>
    </xdr:pic>
    <xdr:clientData/>
  </xdr:twoCellAnchor>
  <xdr:twoCellAnchor editAs="oneCell">
    <xdr:from>
      <xdr:col>6</xdr:col>
      <xdr:colOff>685800</xdr:colOff>
      <xdr:row>1</xdr:row>
      <xdr:rowOff>63500</xdr:rowOff>
    </xdr:from>
    <xdr:to>
      <xdr:col>7</xdr:col>
      <xdr:colOff>222600</xdr:colOff>
      <xdr:row>2</xdr:row>
      <xdr:rowOff>178150</xdr:rowOff>
    </xdr:to>
    <xdr:pic>
      <xdr:nvPicPr>
        <xdr:cNvPr id="6" name="Graphique 5" descr="Argent avec un remplissage uni">
          <a:extLst>
            <a:ext uri="{FF2B5EF4-FFF2-40B4-BE49-F238E27FC236}">
              <a16:creationId xmlns:a16="http://schemas.microsoft.com/office/drawing/2014/main" id="{FA1CB785-3479-2DD2-1F20-CB69C0A3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7436306">
          <a:off x="5041900" y="311150"/>
          <a:ext cx="298800" cy="298800"/>
        </a:xfrm>
        <a:prstGeom prst="rect">
          <a:avLst/>
        </a:prstGeom>
      </xdr:spPr>
    </xdr:pic>
    <xdr:clientData/>
  </xdr:twoCellAnchor>
  <xdr:twoCellAnchor editAs="oneCell">
    <xdr:from>
      <xdr:col>10</xdr:col>
      <xdr:colOff>654049</xdr:colOff>
      <xdr:row>1</xdr:row>
      <xdr:rowOff>76200</xdr:rowOff>
    </xdr:from>
    <xdr:to>
      <xdr:col>11</xdr:col>
      <xdr:colOff>190849</xdr:colOff>
      <xdr:row>3</xdr:row>
      <xdr:rowOff>6700</xdr:rowOff>
    </xdr:to>
    <xdr:pic>
      <xdr:nvPicPr>
        <xdr:cNvPr id="14" name="Graphique 13" descr="Argent avec un remplissage uni">
          <a:extLst>
            <a:ext uri="{FF2B5EF4-FFF2-40B4-BE49-F238E27FC236}">
              <a16:creationId xmlns:a16="http://schemas.microsoft.com/office/drawing/2014/main" id="{B1165678-FBC9-E97D-868F-7FA3E3E28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7436306">
          <a:off x="8058149" y="323850"/>
          <a:ext cx="298800" cy="298800"/>
        </a:xfrm>
        <a:prstGeom prst="rect">
          <a:avLst/>
        </a:prstGeom>
      </xdr:spPr>
    </xdr:pic>
    <xdr:clientData/>
  </xdr:twoCellAnchor>
  <xdr:twoCellAnchor editAs="oneCell">
    <xdr:from>
      <xdr:col>14</xdr:col>
      <xdr:colOff>654049</xdr:colOff>
      <xdr:row>1</xdr:row>
      <xdr:rowOff>69850</xdr:rowOff>
    </xdr:from>
    <xdr:to>
      <xdr:col>15</xdr:col>
      <xdr:colOff>190849</xdr:colOff>
      <xdr:row>3</xdr:row>
      <xdr:rowOff>350</xdr:rowOff>
    </xdr:to>
    <xdr:pic>
      <xdr:nvPicPr>
        <xdr:cNvPr id="16" name="Graphique 15" descr="Argent avec un remplissage uni">
          <a:extLst>
            <a:ext uri="{FF2B5EF4-FFF2-40B4-BE49-F238E27FC236}">
              <a16:creationId xmlns:a16="http://schemas.microsoft.com/office/drawing/2014/main" id="{618C2033-68BD-29B3-5DB1-EFC136554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7436306">
          <a:off x="11106149" y="317500"/>
          <a:ext cx="298800" cy="298800"/>
        </a:xfrm>
        <a:prstGeom prst="rect">
          <a:avLst/>
        </a:prstGeom>
      </xdr:spPr>
    </xdr:pic>
    <xdr:clientData/>
  </xdr:twoCellAnchor>
  <xdr:twoCellAnchor editAs="oneCell">
    <xdr:from>
      <xdr:col>12</xdr:col>
      <xdr:colOff>558800</xdr:colOff>
      <xdr:row>1</xdr:row>
      <xdr:rowOff>114300</xdr:rowOff>
    </xdr:from>
    <xdr:to>
      <xdr:col>13</xdr:col>
      <xdr:colOff>95250</xdr:colOff>
      <xdr:row>3</xdr:row>
      <xdr:rowOff>44450</xdr:rowOff>
    </xdr:to>
    <xdr:pic>
      <xdr:nvPicPr>
        <xdr:cNvPr id="39" name="Graphique 38" descr="Chariot de courses avec un remplissage uni">
          <a:extLst>
            <a:ext uri="{FF2B5EF4-FFF2-40B4-BE49-F238E27FC236}">
              <a16:creationId xmlns:a16="http://schemas.microsoft.com/office/drawing/2014/main" id="{504E080D-3DA3-46B6-ACF5-5D9C9ABC8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86900" y="361950"/>
          <a:ext cx="298450" cy="298450"/>
        </a:xfrm>
        <a:prstGeom prst="rect">
          <a:avLst/>
        </a:prstGeom>
      </xdr:spPr>
    </xdr:pic>
    <xdr:clientData/>
  </xdr:twoCellAnchor>
  <xdr:twoCellAnchor editAs="oneCell">
    <xdr:from>
      <xdr:col>8</xdr:col>
      <xdr:colOff>685800</xdr:colOff>
      <xdr:row>1</xdr:row>
      <xdr:rowOff>107950</xdr:rowOff>
    </xdr:from>
    <xdr:to>
      <xdr:col>9</xdr:col>
      <xdr:colOff>222250</xdr:colOff>
      <xdr:row>3</xdr:row>
      <xdr:rowOff>38100</xdr:rowOff>
    </xdr:to>
    <xdr:pic>
      <xdr:nvPicPr>
        <xdr:cNvPr id="40" name="Graphique 39" descr="Chariot de courses avec un remplissage uni">
          <a:extLst>
            <a:ext uri="{FF2B5EF4-FFF2-40B4-BE49-F238E27FC236}">
              <a16:creationId xmlns:a16="http://schemas.microsoft.com/office/drawing/2014/main" id="{79A03B60-A960-4057-995E-A7F3E260C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562545" y="353563"/>
          <a:ext cx="297252" cy="301565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3</xdr:row>
      <xdr:rowOff>161924</xdr:rowOff>
    </xdr:from>
    <xdr:to>
      <xdr:col>7</xdr:col>
      <xdr:colOff>230000</xdr:colOff>
      <xdr:row>10</xdr:row>
      <xdr:rowOff>53465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991D861-A405-9115-0ED6-9791197A09BD}"/>
            </a:ext>
          </a:extLst>
        </xdr:cNvPr>
        <xdr:cNvSpPr/>
      </xdr:nvSpPr>
      <xdr:spPr>
        <a:xfrm>
          <a:off x="2334154" y="777080"/>
          <a:ext cx="3015534" cy="1188000"/>
        </a:xfrm>
        <a:prstGeom prst="roundRect">
          <a:avLst>
            <a:gd name="adj" fmla="val 1124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3</xdr:col>
      <xdr:colOff>375840</xdr:colOff>
      <xdr:row>4</xdr:row>
      <xdr:rowOff>0</xdr:rowOff>
    </xdr:from>
    <xdr:to>
      <xdr:col>7</xdr:col>
      <xdr:colOff>71040</xdr:colOff>
      <xdr:row>10</xdr:row>
      <xdr:rowOff>68262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C8D5147-0BD9-4BB6-BBFA-FEEE41CF7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113902</xdr:colOff>
      <xdr:row>5</xdr:row>
      <xdr:rowOff>56754</xdr:rowOff>
    </xdr:from>
    <xdr:to>
      <xdr:col>5</xdr:col>
      <xdr:colOff>74611</xdr:colOff>
      <xdr:row>9</xdr:row>
      <xdr:rowOff>34939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id="{2A8B9A65-E3C0-0E21-DAE5-F0172CDB0031}"/>
            </a:ext>
          </a:extLst>
        </xdr:cNvPr>
        <xdr:cNvSpPr/>
      </xdr:nvSpPr>
      <xdr:spPr>
        <a:xfrm>
          <a:off x="2947590" y="1021160"/>
          <a:ext cx="722709" cy="692560"/>
        </a:xfrm>
        <a:prstGeom prst="ellipse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135732</xdr:colOff>
      <xdr:row>6</xdr:row>
      <xdr:rowOff>38100</xdr:rowOff>
    </xdr:from>
    <xdr:to>
      <xdr:col>5</xdr:col>
      <xdr:colOff>87710</xdr:colOff>
      <xdr:row>8</xdr:row>
      <xdr:rowOff>80566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C0834871-7877-4737-885E-3FCBD1E50BC6}"/>
            </a:ext>
          </a:extLst>
        </xdr:cNvPr>
        <xdr:cNvSpPr txBox="1"/>
      </xdr:nvSpPr>
      <xdr:spPr>
        <a:xfrm>
          <a:off x="2967832" y="1206500"/>
          <a:ext cx="713978" cy="410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000" b="1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Stock</a:t>
          </a:r>
          <a:r>
            <a:rPr lang="fr-CI" sz="1000" b="1" baseline="0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 par catégorie</a:t>
          </a:r>
          <a:endParaRPr lang="fr-CI" sz="1000" b="1">
            <a:solidFill>
              <a:sysClr val="windowText" lastClr="00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</xdr:col>
      <xdr:colOff>510066</xdr:colOff>
      <xdr:row>4</xdr:row>
      <xdr:rowOff>10291</xdr:rowOff>
    </xdr:from>
    <xdr:to>
      <xdr:col>10</xdr:col>
      <xdr:colOff>707755</xdr:colOff>
      <xdr:row>10</xdr:row>
      <xdr:rowOff>63008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61044DB-D2D4-4474-B61A-36421A647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614784</xdr:colOff>
      <xdr:row>4</xdr:row>
      <xdr:rowOff>31751</xdr:rowOff>
    </xdr:from>
    <xdr:to>
      <xdr:col>15</xdr:col>
      <xdr:colOff>19845</xdr:colOff>
      <xdr:row>10</xdr:row>
      <xdr:rowOff>5993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74A3FA4C-B91A-4759-B75B-DE8D35B11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232467</xdr:colOff>
      <xdr:row>5</xdr:row>
      <xdr:rowOff>50889</xdr:rowOff>
    </xdr:from>
    <xdr:to>
      <xdr:col>9</xdr:col>
      <xdr:colOff>193176</xdr:colOff>
      <xdr:row>9</xdr:row>
      <xdr:rowOff>29074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id="{86DBC96C-3AEC-2557-E8A8-31E581257B50}"/>
            </a:ext>
          </a:extLst>
        </xdr:cNvPr>
        <xdr:cNvSpPr/>
      </xdr:nvSpPr>
      <xdr:spPr>
        <a:xfrm>
          <a:off x="6112832" y="1036462"/>
          <a:ext cx="721386" cy="719018"/>
        </a:xfrm>
        <a:prstGeom prst="ellipse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152137</xdr:colOff>
      <xdr:row>5</xdr:row>
      <xdr:rowOff>125659</xdr:rowOff>
    </xdr:from>
    <xdr:to>
      <xdr:col>9</xdr:col>
      <xdr:colOff>257970</xdr:colOff>
      <xdr:row>8</xdr:row>
      <xdr:rowOff>177800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E86A1343-9B15-F386-034D-BB45BDD423BD}"/>
            </a:ext>
          </a:extLst>
        </xdr:cNvPr>
        <xdr:cNvSpPr txBox="1"/>
      </xdr:nvSpPr>
      <xdr:spPr>
        <a:xfrm>
          <a:off x="6032237" y="1109909"/>
          <a:ext cx="867833" cy="604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CI" sz="1000" b="1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Total</a:t>
          </a:r>
          <a:r>
            <a:rPr lang="fr-CI" sz="1000" b="1" baseline="0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 des entrées par catégorie</a:t>
          </a:r>
          <a:endParaRPr lang="fr-CI" sz="1000" b="1">
            <a:solidFill>
              <a:sysClr val="windowText" lastClr="00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12</xdr:col>
      <xdr:colOff>347558</xdr:colOff>
      <xdr:row>5</xdr:row>
      <xdr:rowOff>32897</xdr:rowOff>
    </xdr:from>
    <xdr:to>
      <xdr:col>13</xdr:col>
      <xdr:colOff>308267</xdr:colOff>
      <xdr:row>9</xdr:row>
      <xdr:rowOff>11082</xdr:rowOff>
    </xdr:to>
    <xdr:sp macro="" textlink="">
      <xdr:nvSpPr>
        <xdr:cNvPr id="35" name="Ellipse 34">
          <a:extLst>
            <a:ext uri="{FF2B5EF4-FFF2-40B4-BE49-F238E27FC236}">
              <a16:creationId xmlns:a16="http://schemas.microsoft.com/office/drawing/2014/main" id="{08C328C7-30E5-D285-3ED1-2EAC61452403}"/>
            </a:ext>
          </a:extLst>
        </xdr:cNvPr>
        <xdr:cNvSpPr/>
      </xdr:nvSpPr>
      <xdr:spPr>
        <a:xfrm>
          <a:off x="9275658" y="1017147"/>
          <a:ext cx="722709" cy="714785"/>
        </a:xfrm>
        <a:prstGeom prst="ellipse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224896</xdr:colOff>
      <xdr:row>5</xdr:row>
      <xdr:rowOff>13230</xdr:rowOff>
    </xdr:from>
    <xdr:to>
      <xdr:col>11</xdr:col>
      <xdr:colOff>270615</xdr:colOff>
      <xdr:row>9</xdr:row>
      <xdr:rowOff>46303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4C49E96-51E1-3A2C-00DE-246B8CCFD321}"/>
            </a:ext>
          </a:extLst>
        </xdr:cNvPr>
        <xdr:cNvSpPr/>
      </xdr:nvSpPr>
      <xdr:spPr>
        <a:xfrm>
          <a:off x="8387292" y="998803"/>
          <a:ext cx="45719" cy="773906"/>
        </a:xfrm>
        <a:prstGeom prst="rect">
          <a:avLst/>
        </a:prstGeom>
        <a:solidFill>
          <a:srgbClr val="0E308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I" sz="1100"/>
        </a:p>
      </xdr:txBody>
    </xdr:sp>
    <xdr:clientData/>
  </xdr:twoCellAnchor>
  <xdr:twoCellAnchor>
    <xdr:from>
      <xdr:col>12</xdr:col>
      <xdr:colOff>293160</xdr:colOff>
      <xdr:row>5</xdr:row>
      <xdr:rowOff>88617</xdr:rowOff>
    </xdr:from>
    <xdr:to>
      <xdr:col>13</xdr:col>
      <xdr:colOff>398993</xdr:colOff>
      <xdr:row>8</xdr:row>
      <xdr:rowOff>139700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D7367005-13DB-CBD1-75E7-C3533DE3A282}"/>
            </a:ext>
          </a:extLst>
        </xdr:cNvPr>
        <xdr:cNvSpPr txBox="1"/>
      </xdr:nvSpPr>
      <xdr:spPr>
        <a:xfrm>
          <a:off x="9221260" y="1072867"/>
          <a:ext cx="867833" cy="603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CI" sz="1000" b="1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Total</a:t>
          </a:r>
          <a:r>
            <a:rPr lang="fr-CI" sz="1000" b="1" baseline="0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 des sorties par catégorie</a:t>
          </a:r>
          <a:endParaRPr lang="fr-CI" sz="1000" b="1">
            <a:solidFill>
              <a:sysClr val="windowText" lastClr="00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</xdr:col>
      <xdr:colOff>393701</xdr:colOff>
      <xdr:row>10</xdr:row>
      <xdr:rowOff>95250</xdr:rowOff>
    </xdr:from>
    <xdr:to>
      <xdr:col>11</xdr:col>
      <xdr:colOff>127000</xdr:colOff>
      <xdr:row>17</xdr:row>
      <xdr:rowOff>12700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D946DB63-51F5-4C83-B135-7FA191A94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355601</xdr:colOff>
      <xdr:row>10</xdr:row>
      <xdr:rowOff>127000</xdr:rowOff>
    </xdr:from>
    <xdr:to>
      <xdr:col>15</xdr:col>
      <xdr:colOff>101600</xdr:colOff>
      <xdr:row>17</xdr:row>
      <xdr:rowOff>12701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37CD7870-3485-4CA0-B25C-286143669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361950</xdr:colOff>
      <xdr:row>10</xdr:row>
      <xdr:rowOff>114301</xdr:rowOff>
    </xdr:from>
    <xdr:to>
      <xdr:col>14</xdr:col>
      <xdr:colOff>25400</xdr:colOff>
      <xdr:row>11</xdr:row>
      <xdr:rowOff>152400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53966030-6781-4DEA-958E-D54EB14E4E93}"/>
            </a:ext>
          </a:extLst>
        </xdr:cNvPr>
        <xdr:cNvSpPr txBox="1"/>
      </xdr:nvSpPr>
      <xdr:spPr>
        <a:xfrm>
          <a:off x="8528050" y="2019301"/>
          <a:ext cx="1949450" cy="222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CI" sz="1000" b="1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Total</a:t>
          </a:r>
          <a:r>
            <a:rPr lang="fr-CI" sz="1000" b="1" baseline="0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 des sorties par mois</a:t>
          </a:r>
          <a:endParaRPr lang="fr-CI" sz="1000" b="1">
            <a:solidFill>
              <a:sysClr val="windowText" lastClr="00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</xdr:col>
      <xdr:colOff>406400</xdr:colOff>
      <xdr:row>17</xdr:row>
      <xdr:rowOff>76200</xdr:rowOff>
    </xdr:from>
    <xdr:to>
      <xdr:col>9</xdr:col>
      <xdr:colOff>514349</xdr:colOff>
      <xdr:row>18</xdr:row>
      <xdr:rowOff>165099</xdr:rowOff>
    </xdr:to>
    <xdr:sp macro="" textlink="">
      <xdr:nvSpPr>
        <xdr:cNvPr id="37" name="ZoneTexte 33">
          <a:extLst>
            <a:ext uri="{FF2B5EF4-FFF2-40B4-BE49-F238E27FC236}">
              <a16:creationId xmlns:a16="http://schemas.microsoft.com/office/drawing/2014/main" id="{C11A3142-A914-8E76-C3C9-C694AA11D839}"/>
            </a:ext>
          </a:extLst>
        </xdr:cNvPr>
        <xdr:cNvSpPr txBox="1"/>
      </xdr:nvSpPr>
      <xdr:spPr>
        <a:xfrm>
          <a:off x="5524500" y="3270250"/>
          <a:ext cx="1631949" cy="273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fr-CI" sz="1000" b="1" baseline="0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Valeur des entrées par mois</a:t>
          </a:r>
          <a:endParaRPr lang="fr-CI" sz="1000" b="1">
            <a:solidFill>
              <a:sysClr val="windowText" lastClr="00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11</xdr:col>
      <xdr:colOff>355600</xdr:colOff>
      <xdr:row>17</xdr:row>
      <xdr:rowOff>69850</xdr:rowOff>
    </xdr:from>
    <xdr:to>
      <xdr:col>13</xdr:col>
      <xdr:colOff>463549</xdr:colOff>
      <xdr:row>18</xdr:row>
      <xdr:rowOff>158749</xdr:rowOff>
    </xdr:to>
    <xdr:sp macro="" textlink="">
      <xdr:nvSpPr>
        <xdr:cNvPr id="38" name="ZoneTexte 33">
          <a:extLst>
            <a:ext uri="{FF2B5EF4-FFF2-40B4-BE49-F238E27FC236}">
              <a16:creationId xmlns:a16="http://schemas.microsoft.com/office/drawing/2014/main" id="{C11A3142-A914-8E76-C3C9-C694AA11D839}"/>
            </a:ext>
          </a:extLst>
        </xdr:cNvPr>
        <xdr:cNvSpPr txBox="1"/>
      </xdr:nvSpPr>
      <xdr:spPr>
        <a:xfrm>
          <a:off x="8521700" y="3263900"/>
          <a:ext cx="1631949" cy="273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fr-CI" sz="1000" b="1" baseline="0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Valeur des sorties par mois</a:t>
          </a:r>
          <a:endParaRPr lang="fr-CI" sz="1000" b="1">
            <a:solidFill>
              <a:sysClr val="windowText" lastClr="00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</xdr:col>
      <xdr:colOff>349250</xdr:colOff>
      <xdr:row>17</xdr:row>
      <xdr:rowOff>171449</xdr:rowOff>
    </xdr:from>
    <xdr:to>
      <xdr:col>11</xdr:col>
      <xdr:colOff>196850</xdr:colOff>
      <xdr:row>23</xdr:row>
      <xdr:rowOff>69850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09F62D23-5C68-4FAB-9DF1-ABAB73C61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317500</xdr:colOff>
      <xdr:row>18</xdr:row>
      <xdr:rowOff>76200</xdr:rowOff>
    </xdr:from>
    <xdr:to>
      <xdr:col>15</xdr:col>
      <xdr:colOff>165100</xdr:colOff>
      <xdr:row>23</xdr:row>
      <xdr:rowOff>92075</xdr:rowOff>
    </xdr:to>
    <xdr:graphicFrame macro="">
      <xdr:nvGraphicFramePr>
        <xdr:cNvPr id="42" name="Graphique 41">
          <a:extLst>
            <a:ext uri="{FF2B5EF4-FFF2-40B4-BE49-F238E27FC236}">
              <a16:creationId xmlns:a16="http://schemas.microsoft.com/office/drawing/2014/main" id="{E96AB8D8-6472-4E85-A76B-39455E3F1F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317500</xdr:colOff>
      <xdr:row>11</xdr:row>
      <xdr:rowOff>107950</xdr:rowOff>
    </xdr:from>
    <xdr:to>
      <xdr:col>7</xdr:col>
      <xdr:colOff>57150</xdr:colOff>
      <xdr:row>16</xdr:row>
      <xdr:rowOff>127000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D5BBF15B-0CCC-43DB-B3A6-C47041F42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402432</xdr:colOff>
      <xdr:row>10</xdr:row>
      <xdr:rowOff>45257</xdr:rowOff>
    </xdr:from>
    <xdr:to>
      <xdr:col>6</xdr:col>
      <xdr:colOff>25400</xdr:colOff>
      <xdr:row>11</xdr:row>
      <xdr:rowOff>158750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8F856B77-BF3F-51ED-E4E2-C89459D2EE7B}"/>
            </a:ext>
          </a:extLst>
        </xdr:cNvPr>
        <xdr:cNvSpPr txBox="1"/>
      </xdr:nvSpPr>
      <xdr:spPr>
        <a:xfrm>
          <a:off x="2472532" y="1950257"/>
          <a:ext cx="1908968" cy="2976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I" sz="1000" b="1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Top</a:t>
          </a:r>
          <a:r>
            <a:rPr lang="fr-CI" sz="1000" b="1" baseline="0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 des 3 marchandises</a:t>
          </a:r>
          <a:endParaRPr lang="fr-CI" sz="1000" b="1">
            <a:solidFill>
              <a:sysClr val="windowText" lastClr="000000"/>
            </a:solidFill>
            <a:latin typeface="Bahnschrift SemiBold SemiConden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0.01579</cdr:y>
    </cdr:from>
    <cdr:to>
      <cdr:x>0.58676</cdr:x>
      <cdr:y>0.24211</cdr:y>
    </cdr:to>
    <cdr:sp macro="" textlink="">
      <cdr:nvSpPr>
        <cdr:cNvPr id="2" name="ZoneTexte 33">
          <a:extLst xmlns:a="http://schemas.openxmlformats.org/drawingml/2006/main">
            <a:ext uri="{FF2B5EF4-FFF2-40B4-BE49-F238E27FC236}">
              <a16:creationId xmlns:a16="http://schemas.microsoft.com/office/drawing/2014/main" id="{E86A1343-9B15-F386-034D-BB45BDD423BD}"/>
            </a:ext>
          </a:extLst>
        </cdr:cNvPr>
        <cdr:cNvSpPr txBox="1"/>
      </cdr:nvSpPr>
      <cdr:spPr>
        <a:xfrm xmlns:a="http://schemas.openxmlformats.org/drawingml/2006/main">
          <a:off x="0" y="19051"/>
          <a:ext cx="1631949" cy="27304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fr-CI" sz="1000" b="1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Total</a:t>
          </a:r>
          <a:r>
            <a:rPr lang="fr-CI" sz="1000" b="1" baseline="0">
              <a:solidFill>
                <a:sysClr val="windowText" lastClr="000000"/>
              </a:solidFill>
              <a:latin typeface="Bahnschrift SemiBold SemiConden" panose="020B0502040204020203" pitchFamily="34" charset="0"/>
            </a:rPr>
            <a:t> des entrées par mois</a:t>
          </a:r>
          <a:endParaRPr lang="fr-CI" sz="1000" b="1">
            <a:solidFill>
              <a:sysClr val="windowText" lastClr="000000"/>
            </a:solidFill>
            <a:latin typeface="Bahnschrift SemiBold SemiConden" panose="020B0502040204020203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63500</xdr:colOff>
      <xdr:row>0</xdr:row>
      <xdr:rowOff>120650</xdr:rowOff>
    </xdr:from>
    <xdr:to>
      <xdr:col>12</xdr:col>
      <xdr:colOff>368300</xdr:colOff>
      <xdr:row>14</xdr:row>
      <xdr:rowOff>73022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égorie">
              <a:extLst>
                <a:ext uri="{FF2B5EF4-FFF2-40B4-BE49-F238E27FC236}">
                  <a16:creationId xmlns:a16="http://schemas.microsoft.com/office/drawing/2014/main" id="{F1669228-8EF0-9442-3A46-5688D879EA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28100" y="120650"/>
              <a:ext cx="18288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I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7</xdr:col>
      <xdr:colOff>558800</xdr:colOff>
      <xdr:row>15</xdr:row>
      <xdr:rowOff>0</xdr:rowOff>
    </xdr:from>
    <xdr:to>
      <xdr:col>12</xdr:col>
      <xdr:colOff>0</xdr:colOff>
      <xdr:row>25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CFEBF73-BBB4-112A-722E-E466A96FD0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546100</xdr:colOff>
      <xdr:row>26</xdr:row>
      <xdr:rowOff>88900</xdr:rowOff>
    </xdr:from>
    <xdr:to>
      <xdr:col>11</xdr:col>
      <xdr:colOff>692150</xdr:colOff>
      <xdr:row>35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E5054A1-E681-8343-9954-01DDB0E04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606425</xdr:colOff>
      <xdr:row>38</xdr:row>
      <xdr:rowOff>6349</xdr:rowOff>
    </xdr:from>
    <xdr:to>
      <xdr:col>12</xdr:col>
      <xdr:colOff>19050</xdr:colOff>
      <xdr:row>47</xdr:row>
      <xdr:rowOff>152400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58C3F79-DC65-21C4-43B9-652D76D49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724188</xdr:colOff>
      <xdr:row>49</xdr:row>
      <xdr:rowOff>28863</xdr:rowOff>
    </xdr:from>
    <xdr:to>
      <xdr:col>11</xdr:col>
      <xdr:colOff>676563</xdr:colOff>
      <xdr:row>59</xdr:row>
      <xdr:rowOff>44737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FFF3608E-4485-4D7E-293E-93D2B16D0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306820</xdr:colOff>
      <xdr:row>20</xdr:row>
      <xdr:rowOff>121803</xdr:rowOff>
    </xdr:from>
    <xdr:to>
      <xdr:col>18</xdr:col>
      <xdr:colOff>296718</xdr:colOff>
      <xdr:row>34</xdr:row>
      <xdr:rowOff>166542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9AB40251-8DF4-EFD7-BFD1-02AB2E37C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578427</xdr:colOff>
      <xdr:row>36</xdr:row>
      <xdr:rowOff>12122</xdr:rowOff>
    </xdr:from>
    <xdr:to>
      <xdr:col>17</xdr:col>
      <xdr:colOff>505691</xdr:colOff>
      <xdr:row>47</xdr:row>
      <xdr:rowOff>104197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93176AE9-C5AD-1C97-F567-072FF0123F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71870</xdr:colOff>
      <xdr:row>49</xdr:row>
      <xdr:rowOff>68117</xdr:rowOff>
    </xdr:from>
    <xdr:to>
      <xdr:col>16</xdr:col>
      <xdr:colOff>752764</xdr:colOff>
      <xdr:row>60</xdr:row>
      <xdr:rowOff>96692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DE532794-C387-F839-561F-DAE6FA8C2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492991</xdr:colOff>
      <xdr:row>61</xdr:row>
      <xdr:rowOff>151823</xdr:rowOff>
    </xdr:from>
    <xdr:to>
      <xdr:col>12</xdr:col>
      <xdr:colOff>198004</xdr:colOff>
      <xdr:row>73</xdr:row>
      <xdr:rowOff>59460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60F0E1B-03DF-1654-8EC8-B6D71AE8FC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1066800</xdr:colOff>
      <xdr:row>17</xdr:row>
      <xdr:rowOff>107950</xdr:rowOff>
    </xdr:from>
    <xdr:to>
      <xdr:col>7</xdr:col>
      <xdr:colOff>2012950</xdr:colOff>
      <xdr:row>18</xdr:row>
      <xdr:rowOff>177800</xdr:rowOff>
    </xdr:to>
    <xdr:sp macro="[0]!Ajou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658AE4-6978-FC49-5918-B32DFB051E59}"/>
            </a:ext>
          </a:extLst>
        </xdr:cNvPr>
        <xdr:cNvSpPr/>
      </xdr:nvSpPr>
      <xdr:spPr>
        <a:xfrm>
          <a:off x="6819900" y="3848100"/>
          <a:ext cx="946150" cy="254000"/>
        </a:xfrm>
        <a:prstGeom prst="roundRect">
          <a:avLst/>
        </a:prstGeom>
        <a:solidFill>
          <a:srgbClr val="0E3083"/>
        </a:solidFill>
        <a:ln>
          <a:noFill/>
        </a:ln>
        <a:effectLst>
          <a:glow rad="63500">
            <a:schemeClr val="accent1">
              <a:alpha val="3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200" b="1">
              <a:latin typeface="Aptos" panose="020B0004020202020204" pitchFamily="34" charset="0"/>
            </a:rPr>
            <a:t>Sortie</a:t>
          </a:r>
        </a:p>
      </xdr:txBody>
    </xdr:sp>
    <xdr:clientData/>
  </xdr:twoCellAnchor>
  <xdr:twoCellAnchor>
    <xdr:from>
      <xdr:col>7</xdr:col>
      <xdr:colOff>31750</xdr:colOff>
      <xdr:row>17</xdr:row>
      <xdr:rowOff>107950</xdr:rowOff>
    </xdr:from>
    <xdr:to>
      <xdr:col>7</xdr:col>
      <xdr:colOff>977900</xdr:colOff>
      <xdr:row>18</xdr:row>
      <xdr:rowOff>177800</xdr:rowOff>
    </xdr:to>
    <xdr:sp macro="[0]!Ajoute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49A50CE-0E81-807E-0598-30D4478C85C9}"/>
            </a:ext>
          </a:extLst>
        </xdr:cNvPr>
        <xdr:cNvSpPr/>
      </xdr:nvSpPr>
      <xdr:spPr>
        <a:xfrm>
          <a:off x="5784850" y="3848100"/>
          <a:ext cx="946150" cy="254000"/>
        </a:xfrm>
        <a:prstGeom prst="roundRect">
          <a:avLst/>
        </a:prstGeom>
        <a:solidFill>
          <a:srgbClr val="0E3083"/>
        </a:solidFill>
        <a:ln>
          <a:noFill/>
        </a:ln>
        <a:effectLst>
          <a:glow rad="63500">
            <a:schemeClr val="accent1">
              <a:alpha val="3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200" b="1">
              <a:latin typeface="Aptos" panose="020B0004020202020204" pitchFamily="34" charset="0"/>
            </a:rPr>
            <a:t>Entrée</a:t>
          </a:r>
        </a:p>
      </xdr:txBody>
    </xdr:sp>
    <xdr:clientData/>
  </xdr:twoCellAnchor>
  <xdr:twoCellAnchor>
    <xdr:from>
      <xdr:col>5</xdr:col>
      <xdr:colOff>31750</xdr:colOff>
      <xdr:row>17</xdr:row>
      <xdr:rowOff>107950</xdr:rowOff>
    </xdr:from>
    <xdr:to>
      <xdr:col>5</xdr:col>
      <xdr:colOff>977900</xdr:colOff>
      <xdr:row>18</xdr:row>
      <xdr:rowOff>177800</xdr:rowOff>
    </xdr:to>
    <xdr:sp macro="[0]!EffacerO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9D6205-3032-2DB7-5AC8-FA8F4F4E3E9A}"/>
            </a:ext>
          </a:extLst>
        </xdr:cNvPr>
        <xdr:cNvSpPr/>
      </xdr:nvSpPr>
      <xdr:spPr>
        <a:xfrm>
          <a:off x="3359150" y="3848100"/>
          <a:ext cx="946150" cy="254000"/>
        </a:xfrm>
        <a:prstGeom prst="roundRect">
          <a:avLst/>
        </a:prstGeom>
        <a:solidFill>
          <a:srgbClr val="FDCC00"/>
        </a:solidFill>
        <a:ln>
          <a:noFill/>
        </a:ln>
        <a:effectLst>
          <a:glow rad="63500">
            <a:srgbClr val="FDCC00">
              <a:alpha val="3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200" b="1">
              <a:latin typeface="Aptos" panose="020B0004020202020204" pitchFamily="34" charset="0"/>
            </a:rPr>
            <a:t>Effacer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190500</xdr:rowOff>
    </xdr:from>
    <xdr:to>
      <xdr:col>9</xdr:col>
      <xdr:colOff>900000</xdr:colOff>
      <xdr:row>7</xdr:row>
      <xdr:rowOff>182150</xdr:rowOff>
    </xdr:to>
    <xdr:sp macro="[0]!AjouterM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6B2A5D4-6D43-E53E-08B9-F6BD530A6B1E}"/>
            </a:ext>
          </a:extLst>
        </xdr:cNvPr>
        <xdr:cNvSpPr/>
      </xdr:nvSpPr>
      <xdr:spPr>
        <a:xfrm>
          <a:off x="10096500" y="1371600"/>
          <a:ext cx="900000" cy="252000"/>
        </a:xfrm>
        <a:prstGeom prst="roundRect">
          <a:avLst/>
        </a:prstGeom>
        <a:solidFill>
          <a:srgbClr val="FDCC00"/>
        </a:solidFill>
        <a:ln>
          <a:noFill/>
        </a:ln>
        <a:effectLst>
          <a:glow rad="50800">
            <a:srgbClr val="FDCC00">
              <a:alpha val="3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/>
            <a:t>Ajouter</a:t>
          </a:r>
          <a:r>
            <a:rPr lang="fr-CI" sz="1100"/>
            <a:t> </a:t>
          </a:r>
        </a:p>
      </xdr:txBody>
    </xdr:sp>
    <xdr:clientData/>
  </xdr:twoCellAnchor>
  <xdr:twoCellAnchor>
    <xdr:from>
      <xdr:col>9</xdr:col>
      <xdr:colOff>0</xdr:colOff>
      <xdr:row>8</xdr:row>
      <xdr:rowOff>12700</xdr:rowOff>
    </xdr:from>
    <xdr:to>
      <xdr:col>9</xdr:col>
      <xdr:colOff>900000</xdr:colOff>
      <xdr:row>9</xdr:row>
      <xdr:rowOff>4350</xdr:rowOff>
    </xdr:to>
    <xdr:sp macro="[0]!EffacerM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F160E25A-DA5D-5B62-051B-272F207D7BE2}"/>
            </a:ext>
          </a:extLst>
        </xdr:cNvPr>
        <xdr:cNvSpPr/>
      </xdr:nvSpPr>
      <xdr:spPr>
        <a:xfrm>
          <a:off x="10096500" y="1714500"/>
          <a:ext cx="900000" cy="252000"/>
        </a:xfrm>
        <a:prstGeom prst="roundRect">
          <a:avLst/>
        </a:prstGeom>
        <a:solidFill>
          <a:srgbClr val="0E3083"/>
        </a:solidFill>
        <a:ln>
          <a:noFill/>
        </a:ln>
        <a:effectLst>
          <a:glow rad="50800">
            <a:srgbClr val="0E3083">
              <a:alpha val="3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I" sz="1100" b="1"/>
            <a:t>Effacer</a:t>
          </a:r>
          <a:r>
            <a:rPr lang="fr-CI" sz="1100"/>
            <a:t> 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P" refreshedDate="46112.004693750001" createdVersion="8" refreshedVersion="8" minRefreshableVersion="3" recordCount="135" xr:uid="{CF502525-AE5A-4570-BAAD-2031DBD577B9}">
  <cacheSource type="worksheet">
    <worksheetSource ref="C5:N1048576" sheet="Inventaires"/>
  </cacheSource>
  <cacheFields count="12">
    <cacheField name="Référence" numFmtId="0">
      <sharedItems containsBlank="1"/>
    </cacheField>
    <cacheField name="Designation" numFmtId="0">
      <sharedItems containsBlank="1"/>
    </cacheField>
    <cacheField name="Catégorie" numFmtId="0">
      <sharedItems containsBlank="1"/>
    </cacheField>
    <cacheField name="Unité" numFmtId="0">
      <sharedItems containsBlank="1"/>
    </cacheField>
    <cacheField name="Seuil d'arlete" numFmtId="0">
      <sharedItems containsString="0" containsBlank="1" containsNumber="1" containsInteger="1" minValue="3" maxValue="50"/>
    </cacheField>
    <cacheField name="Stock initial" numFmtId="0">
      <sharedItems containsString="0" containsBlank="1" containsNumber="1" containsInteger="1" minValue="6" maxValue="500"/>
    </cacheField>
    <cacheField name="Entrées" numFmtId="0">
      <sharedItems containsString="0" containsBlank="1" containsNumber="1" containsInteger="1" minValue="0" maxValue="147"/>
    </cacheField>
    <cacheField name="Sorties" numFmtId="0">
      <sharedItems containsString="0" containsBlank="1" containsNumber="1" containsInteger="1" minValue="0" maxValue="165"/>
    </cacheField>
    <cacheField name="Stock final" numFmtId="0">
      <sharedItems containsString="0" containsBlank="1" containsNumber="1" containsInteger="1" minValue="0" maxValue="500"/>
    </cacheField>
    <cacheField name="CUMP" numFmtId="164">
      <sharedItems containsString="0" containsBlank="1" containsNumber="1" containsInteger="1" minValue="50" maxValue="750000"/>
    </cacheField>
    <cacheField name="Valeur" numFmtId="0">
      <sharedItems containsString="0" containsBlank="1" containsNumber="1" containsInteger="1" minValue="0" maxValue="30800000"/>
    </cacheField>
    <cacheField name="Statu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004737037038" backgroundQuery="1" createdVersion="8" refreshedVersion="8" minRefreshableVersion="3" recordCount="0" supportSubquery="1" supportAdvancedDrill="1" xr:uid="{DE9C7DB0-8740-44B6-9F9F-DBC9E8B47857}">
  <cacheSource type="external" connectionId="2"/>
  <cacheFields count="2">
    <cacheField name="[Measures].[Somme de Total 2]" caption="Somme de Total 2" numFmtId="0" hierarchy="32" level="32767"/>
    <cacheField name="[ListeS].[Catégorie].[Catégorie]" caption="Catégorie" numFmtId="0" hierarchy="14" level="1">
      <sharedItems count="3">
        <s v="ELECTRONIQUE"/>
        <s v="RESEAU"/>
        <s v="SMARTPHONE"/>
      </sharedItems>
    </cacheField>
  </cacheFields>
  <cacheHierarchies count="34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2" memberValueDatatype="130" unbalanced="0">
      <fieldsUsage count="2">
        <fieldUsage x="-1"/>
        <fieldUsage x="1"/>
      </fieldsUsage>
    </cacheHierarchy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004738425923" backgroundQuery="1" createdVersion="8" refreshedVersion="8" minRefreshableVersion="3" recordCount="0" supportSubquery="1" supportAdvancedDrill="1" xr:uid="{2D7E0445-D057-46D3-9D43-5C5540A66E9F}">
  <cacheSource type="external" connectionId="2"/>
  <cacheFields count="2">
    <cacheField name="[Measures].[Somme de Quantité 2]" caption="Somme de Quantité 2" numFmtId="0" hierarchy="31" level="32767"/>
    <cacheField name="[ListeS].[Catégorie].[Catégorie]" caption="Catégorie" numFmtId="0" hierarchy="14" level="1">
      <sharedItems count="3">
        <s v="ELECTRONIQUE"/>
        <s v="RESEAU"/>
        <s v="SMARTPHONE"/>
      </sharedItems>
    </cacheField>
  </cacheFields>
  <cacheHierarchies count="34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2" memberValueDatatype="130" unbalanced="0">
      <fieldsUsage count="2">
        <fieldUsage x="-1"/>
        <fieldUsage x="1"/>
      </fieldsUsage>
    </cacheHierarchy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P" refreshedDate="46112.005406828706" createdVersion="8" refreshedVersion="8" minRefreshableVersion="3" recordCount="102" xr:uid="{6E49CB1A-6C5C-4811-9C75-0703DD44AF79}">
  <cacheSource type="worksheet">
    <worksheetSource ref="C5:N107" sheet="Inventaires"/>
  </cacheSource>
  <cacheFields count="12">
    <cacheField name="Référence" numFmtId="0">
      <sharedItems/>
    </cacheField>
    <cacheField name="Designation" numFmtId="0">
      <sharedItems count="101">
        <s v="SAMSUNG A55"/>
        <s v="IPHONE"/>
        <s v="SAMSUNG A15"/>
        <s v="IPHONE 11"/>
        <s v="IPHONE 13"/>
        <s v="INFINIX HOT 30"/>
        <s v="TECNO SPARK 10"/>
        <s v="REDMI NOTE 12"/>
        <s v="SAMSUNG S23"/>
        <s v="IPHONE 14"/>
        <s v="TECNO CAMON 20"/>
        <s v="CHARGEUR SAMSUNG"/>
        <s v="CHARGEUR IPHONE"/>
        <s v="CABLE USB-C"/>
        <s v="CABLE LIGHTNING"/>
        <s v="ECOUTEURS BLUETOOTH"/>
        <s v="CASQUE AUDIO"/>
        <s v="POWER BANK 10000MAH"/>
        <s v="POWER BANK 20000MAH"/>
        <s v="COQUE IPHONE"/>
        <s v="COQUE SAMSUNG"/>
        <s v="CLAVIER HP"/>
        <s v="SOURIS HP"/>
        <s v="ECRAN 22 POUCES"/>
        <s v="ECRAN 24 POUCES"/>
        <s v="ORDINATEUR HP"/>
        <s v="ORDINATEUR DELL"/>
        <s v="IMPRIMANTE CANON"/>
        <s v="IMPRIMANTE HP"/>
        <s v="CLÉ USB 32GB"/>
        <s v="CLÉ USB 64GB"/>
        <s v="DISQUE DUR 1TB"/>
        <s v="DISQUE DUR 2TB"/>
        <s v="CARTE MEMOIRE 32GB"/>
        <s v="CARTE MEMOIRE 64GB"/>
        <s v="ROUTEUR WIFI"/>
        <s v="MODEM 4G"/>
        <s v="SWITCH 8 PORTS"/>
        <s v="SWITCH 16 PORTS"/>
        <s v="CABLE RESEAU"/>
        <s v="PRISE RESEAU"/>
        <s v="ONDULEUR 650VA"/>
        <s v="ONDULEUR 1000VA"/>
        <s v="VENTILATEUR"/>
        <s v="CLIMATISEUR"/>
        <s v="TELEVISEUR 32"/>
        <s v="TELEVISEUR 43"/>
        <s v="TELEVISEUR 55"/>
        <s v="MACHINE A LAVER"/>
        <s v="REFRIGERATEUR"/>
        <s v="MICRO ONDE"/>
        <s v="RIZ 25KG"/>
        <s v="SUCRE 1KG"/>
        <s v="HUILE 1L"/>
        <s v="LAIT EN POUDRE"/>
        <s v="PATES 500G"/>
        <s v="EAU MINERALE"/>
        <s v="JUS EN BOUTEILLE"/>
        <s v="BISCUITS"/>
        <s v="CAFE"/>
        <s v="THE"/>
        <s v="SAVON"/>
        <s v="EAU DE JAVEL"/>
        <s v="DETERGENT"/>
        <s v="BALAI"/>
        <s v="SERPILLIERE"/>
        <s v="SEAU"/>
        <s v="EPONGE"/>
        <s v="PAPIER TOILETTE"/>
        <s v="MOUCHOIR"/>
        <s v="DESINFECTANT"/>
        <s v="STYLO"/>
        <s v="CAHIER"/>
        <s v="CLASSEUR"/>
        <s v="PAPIER A4"/>
        <s v="AGRAFEUSE"/>
        <s v="CALCULATRICE"/>
        <s v="MARQUEUR"/>
        <s v="CRAYON"/>
        <s v="GOMME"/>
        <s v="REGLE"/>
        <s v="CIMENT"/>
        <s v="SABLE"/>
        <s v="GRAVIER"/>
        <s v="FER A BETON"/>
        <s v="PEINTURE"/>
        <s v="PINCEAU"/>
        <s v="MARTEAU"/>
        <s v="SCIE"/>
        <s v="CLOUS"/>
        <s v="TUYAU PVC"/>
        <s v="LAMPE LED"/>
        <s v="PROJECTEUR"/>
        <s v="BATTERIE AUTO"/>
        <s v="HUILE MOTEUR"/>
        <s v="PNEU"/>
        <s v="FILTRE A HUILE"/>
        <s v="FILTRE A AIR"/>
        <s v="BOUGIE"/>
        <s v="RADIATEUR"/>
        <s v="ALTERNATEUR"/>
      </sharedItems>
    </cacheField>
    <cacheField name="Catégorie" numFmtId="0">
      <sharedItems count="11">
        <s v="SMARTPHONE"/>
        <s v="ACCESSOIRE"/>
        <s v="INFORMATIQUE"/>
        <s v="RESEAU"/>
        <s v="ELECTRONIQUE"/>
        <s v="ELECTROMENAGER"/>
        <s v="ALIMENTAIRE"/>
        <s v="ENTRETIEN"/>
        <s v="FOURNITURE"/>
        <s v="CONSTRUCTION"/>
        <s v="AUTOMOBILE"/>
      </sharedItems>
    </cacheField>
    <cacheField name="Unité" numFmtId="0">
      <sharedItems/>
    </cacheField>
    <cacheField name="Seuil d'arlete" numFmtId="0">
      <sharedItems containsSemiMixedTypes="0" containsString="0" containsNumber="1" containsInteger="1" minValue="3" maxValue="50"/>
    </cacheField>
    <cacheField name="Stock initial" numFmtId="0">
      <sharedItems containsSemiMixedTypes="0" containsString="0" containsNumber="1" containsInteger="1" minValue="6" maxValue="500"/>
    </cacheField>
    <cacheField name="Entrées" numFmtId="0">
      <sharedItems containsSemiMixedTypes="0" containsString="0" containsNumber="1" containsInteger="1" minValue="0" maxValue="147"/>
    </cacheField>
    <cacheField name="Sorties" numFmtId="0">
      <sharedItems containsSemiMixedTypes="0" containsString="0" containsNumber="1" containsInteger="1" minValue="0" maxValue="165"/>
    </cacheField>
    <cacheField name="Stock final" numFmtId="0">
      <sharedItems containsSemiMixedTypes="0" containsString="0" containsNumber="1" containsInteger="1" minValue="0" maxValue="500"/>
    </cacheField>
    <cacheField name="CUMP" numFmtId="164">
      <sharedItems containsSemiMixedTypes="0" containsString="0" containsNumber="1" containsInteger="1" minValue="50" maxValue="750000"/>
    </cacheField>
    <cacheField name="Valeur" numFmtId="164">
      <sharedItems containsSemiMixedTypes="0" containsString="0" containsNumber="1" containsInteger="1" minValue="0" maxValue="30800000"/>
    </cacheField>
    <cacheField name="Statu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434959259263" backgroundQuery="1" createdVersion="8" refreshedVersion="8" minRefreshableVersion="3" recordCount="0" supportSubquery="1" supportAdvancedDrill="1" xr:uid="{83B2BD31-F108-4835-957E-DA0145C66260}">
  <cacheSource type="external" connectionId="2"/>
  <cacheFields count="2">
    <cacheField name="[Measures].[Somme de Quantité]" caption="Somme de Quantité" numFmtId="0" hierarchy="29" level="32767"/>
    <cacheField name="[ListeE].[Catégorie].[Catégorie]" caption="Catégorie" numFmtId="0" hierarchy="4" level="1">
      <sharedItems count="5">
        <s v="ACCESSOIRE"/>
        <s v="ELECTRONIQUE"/>
        <s v="INFORMATIQUE"/>
        <s v="RESEAU"/>
        <s v="SMARTPHONE"/>
      </sharedItems>
    </cacheField>
  </cacheFields>
  <cacheHierarchies count="34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2" memberValueDatatype="130" unbalanced="0">
      <fieldsUsage count="2">
        <fieldUsage x="-1"/>
        <fieldUsage x="1"/>
      </fieldsUsage>
    </cacheHierarchy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434960879633" backgroundQuery="1" createdVersion="8" refreshedVersion="8" minRefreshableVersion="3" recordCount="0" supportSubquery="1" supportAdvancedDrill="1" xr:uid="{1725748C-AD06-4A3E-BE9D-9C1BE0852071}">
  <cacheSource type="external" connectionId="2"/>
  <cacheFields count="3">
    <cacheField name="[Measures].[Somme de Quantité]" caption="Somme de Quantité" numFmtId="0" hierarchy="29" level="32767"/>
    <cacheField name="[Measures].[Somme de Total]" caption="Somme de Total" numFmtId="0" hierarchy="30" level="32767"/>
    <cacheField name="[TableauC].[Catégorie].[Catégorie]" caption="Catégorie" numFmtId="0" hierarchy="20" level="1">
      <sharedItems containsSemiMixedTypes="0" containsNonDate="0" containsString="0"/>
    </cacheField>
  </cacheFields>
  <cacheHierarchies count="34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2" memberValueDatatype="130" unbalanced="0">
      <fieldsUsage count="2">
        <fieldUsage x="-1"/>
        <fieldUsage x="2"/>
      </fieldsUsage>
    </cacheHierarchy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434963078704" backgroundQuery="1" createdVersion="8" refreshedVersion="8" minRefreshableVersion="3" recordCount="0" supportSubquery="1" supportAdvancedDrill="1" xr:uid="{B1478FBB-0D67-49DA-8175-3BF38944464E}">
  <cacheSource type="external" connectionId="2"/>
  <cacheFields count="2">
    <cacheField name="[Measures].[Somme de Total]" caption="Somme de Total" numFmtId="0" hierarchy="30" level="32767"/>
    <cacheField name="[ListeE].[Catégorie].[Catégorie]" caption="Catégorie" numFmtId="0" hierarchy="4" level="1">
      <sharedItems count="5">
        <s v="ACCESSOIRE"/>
        <s v="ELECTRONIQUE"/>
        <s v="INFORMATIQUE"/>
        <s v="RESEAU"/>
        <s v="SMARTPHONE"/>
      </sharedItems>
    </cacheField>
  </cacheFields>
  <cacheHierarchies count="34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2" memberValueDatatype="130" unbalanced="0">
      <fieldsUsage count="2">
        <fieldUsage x="-1"/>
        <fieldUsage x="1"/>
      </fieldsUsage>
    </cacheHierarchy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434964583335" backgroundQuery="1" createdVersion="8" refreshedVersion="8" minRefreshableVersion="3" recordCount="0" supportSubquery="1" supportAdvancedDrill="1" xr:uid="{1446499D-B804-4083-8AA6-F05967859ABB}">
  <cacheSource type="external" connectionId="2"/>
  <cacheFields count="4">
    <cacheField name="[ListeE].[Date].[Date]" caption="Date" numFmtId="0" hierarchy="1" level="1">
      <sharedItems containsSemiMixedTypes="0" containsNonDate="0" containsDate="1" containsString="0" minDate="2026-01-24T00:00:00" maxDate="2026-07-31T00:00:00" count="10">
        <d v="2026-01-24T00:00:00"/>
        <d v="2026-03-23T00:00:00"/>
        <d v="2026-03-24T00:00:00"/>
        <d v="2026-03-30T00:00:00"/>
        <d v="2026-04-23T00:00:00"/>
        <d v="2026-04-30T00:00:00"/>
        <d v="2026-05-24T00:00:00"/>
        <d v="2026-06-23T00:00:00"/>
        <d v="2026-07-26T00:00:00"/>
        <d v="2026-07-30T00:00:00"/>
      </sharedItems>
    </cacheField>
    <cacheField name="[ListeE].[Date (mois)].[Date (mois)]" caption="Date (mois)" numFmtId="0" hierarchy="9" level="1">
      <sharedItems count="6">
        <s v="Jan"/>
        <s v="Mar"/>
        <s v="Apr"/>
        <s v="May"/>
        <s v="Jun"/>
        <s v="Jul"/>
      </sharedItems>
    </cacheField>
    <cacheField name="[Measures].[Somme de Total]" caption="Somme de Total" numFmtId="0" hierarchy="30" level="32767"/>
    <cacheField name="Dummy0" numFmtId="0" hierarchy="34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5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2" memberValueDatatype="7" unbalanced="0">
      <fieldsUsage count="2">
        <fieldUsage x="-1"/>
        <fieldUsage x="0"/>
      </fieldsUsage>
    </cacheHierarchy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2" memberValueDatatype="130" unbalanced="0">
      <fieldsUsage count="2">
        <fieldUsage x="-1"/>
        <fieldUsage x="1"/>
      </fieldsUsage>
    </cacheHierarchy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Dummy0" caption="Numéro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434965856482" backgroundQuery="1" createdVersion="8" refreshedVersion="8" minRefreshableVersion="3" recordCount="0" supportSubquery="1" supportAdvancedDrill="1" xr:uid="{70D51D86-78FD-4FC8-AFB3-4845473E5C92}">
  <cacheSource type="external" connectionId="2"/>
  <cacheFields count="3">
    <cacheField name="[Measures].[Somme de Quantité]" caption="Somme de Quantité" numFmtId="0" hierarchy="29" level="32767"/>
    <cacheField name="[ListeE].[Date].[Date]" caption="Date" numFmtId="0" hierarchy="1" level="1">
      <sharedItems containsSemiMixedTypes="0" containsNonDate="0" containsDate="1" containsString="0" minDate="2026-01-24T00:00:00" maxDate="2026-07-31T00:00:00" count="10">
        <d v="2026-01-24T00:00:00"/>
        <d v="2026-03-23T00:00:00"/>
        <d v="2026-03-24T00:00:00"/>
        <d v="2026-03-30T00:00:00"/>
        <d v="2026-04-23T00:00:00"/>
        <d v="2026-04-30T00:00:00"/>
        <d v="2026-05-24T00:00:00"/>
        <d v="2026-06-23T00:00:00"/>
        <d v="2026-07-26T00:00:00"/>
        <d v="2026-07-30T00:00:00"/>
      </sharedItems>
    </cacheField>
    <cacheField name="[ListeE].[Date (mois)].[Date (mois)]" caption="Date (mois)" numFmtId="0" hierarchy="9" level="1">
      <sharedItems count="6">
        <s v="Jan"/>
        <s v="Mar"/>
        <s v="Apr"/>
        <s v="May"/>
        <s v="Jun"/>
        <s v="Jul"/>
      </sharedItems>
    </cacheField>
  </cacheFields>
  <cacheHierarchies count="34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2" memberValueDatatype="7" unbalanced="0">
      <fieldsUsage count="2">
        <fieldUsage x="-1"/>
        <fieldUsage x="1"/>
      </fieldsUsage>
    </cacheHierarchy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2" memberValueDatatype="130" unbalanced="0">
      <fieldsUsage count="2">
        <fieldUsage x="-1"/>
        <fieldUsage x="2"/>
      </fieldsUsage>
    </cacheHierarchy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434967245368" backgroundQuery="1" createdVersion="8" refreshedVersion="8" minRefreshableVersion="3" recordCount="0" supportSubquery="1" supportAdvancedDrill="1" xr:uid="{41391BC1-E5F2-4443-88EE-4BFFF39010BD}">
  <cacheSource type="external" connectionId="2"/>
  <cacheFields count="2">
    <cacheField name="[Measures].[Somme de Total]" caption="Somme de Total" numFmtId="0" hierarchy="30" level="32767"/>
    <cacheField name="[ListeE].[Designation].[Designation]" caption="Designation" numFmtId="0" hierarchy="3" level="1">
      <sharedItems count="5">
        <s v="IPHONE"/>
        <s v="IPHONE 13"/>
        <s v="SAMSUNG A55"/>
        <s v="ORDINATEUR DELL" u="1"/>
        <s v="REDMI NOTE 12" u="1"/>
      </sharedItems>
    </cacheField>
  </cacheFields>
  <cacheHierarchies count="34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2" memberValueDatatype="130" unbalanced="0">
      <fieldsUsage count="2">
        <fieldUsage x="-1"/>
        <fieldUsage x="1"/>
      </fieldsUsage>
    </cacheHierarchy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435044212965" backgroundQuery="1" createdVersion="8" refreshedVersion="8" minRefreshableVersion="3" recordCount="0" supportSubquery="1" supportAdvancedDrill="1" xr:uid="{D7C6AA74-6B2E-46B2-AE94-E238ABCE3A08}">
  <cacheSource type="external" connectionId="2"/>
  <cacheFields count="2">
    <cacheField name="[Measures].[Somme de Quantité 2]" caption="Somme de Quantité 2" numFmtId="0" hierarchy="31" level="32767"/>
    <cacheField name="[Measures].[Somme de Total 2]" caption="Somme de Total 2" numFmtId="0" hierarchy="32" level="32767"/>
  </cacheFields>
  <cacheHierarchies count="34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435045486112" backgroundQuery="1" createdVersion="8" refreshedVersion="8" minRefreshableVersion="3" recordCount="0" supportSubquery="1" supportAdvancedDrill="1" xr:uid="{19C3539F-188A-4DA4-9BF3-DEE463F292B9}">
  <cacheSource type="external" connectionId="2"/>
  <cacheFields count="3">
    <cacheField name="[Measures].[Somme de Quantité 2]" caption="Somme de Quantité 2" numFmtId="0" hierarchy="31" level="32767"/>
    <cacheField name="[ListeS].[Date].[Date]" caption="Date" numFmtId="0" hierarchy="11" level="1">
      <sharedItems containsSemiMixedTypes="0" containsNonDate="0" containsDate="1" containsString="0" minDate="2026-03-30T00:00:00" maxDate="2026-07-25T00:00:00" count="7">
        <d v="2026-03-30T00:00:00"/>
        <d v="2026-04-26T00:00:00"/>
        <d v="2026-04-30T00:00:00"/>
        <d v="2026-05-26T00:00:00"/>
        <d v="2026-06-24T00:00:00"/>
        <d v="2026-06-26T00:00:00"/>
        <d v="2026-07-24T00:00:00"/>
      </sharedItems>
    </cacheField>
    <cacheField name="[ListeS].[Date (mois)].[Date (mois)]" caption="Date (mois)" numFmtId="0" hierarchy="19" level="1">
      <sharedItems count="5">
        <s v="Mar"/>
        <s v="Apr"/>
        <s v="May"/>
        <s v="Jun"/>
        <s v="Jul"/>
      </sharedItems>
    </cacheField>
  </cacheFields>
  <cacheHierarchies count="34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2" memberValueDatatype="7" unbalanced="0">
      <fieldsUsage count="2">
        <fieldUsage x="-1"/>
        <fieldUsage x="1"/>
      </fieldsUsage>
    </cacheHierarchy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2" memberValueDatatype="130" unbalanced="0">
      <fieldsUsage count="2">
        <fieldUsage x="-1"/>
        <fieldUsage x="2"/>
      </fieldsUsage>
    </cacheHierarchy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435046874998" backgroundQuery="1" createdVersion="8" refreshedVersion="8" minRefreshableVersion="3" recordCount="0" supportSubquery="1" supportAdvancedDrill="1" xr:uid="{7CC348DC-DA49-4B7E-A1F7-C127DD51C17C}">
  <cacheSource type="external" connectionId="2"/>
  <cacheFields count="4">
    <cacheField name="[ListeS].[Date].[Date]" caption="Date" numFmtId="0" hierarchy="11" level="1">
      <sharedItems containsSemiMixedTypes="0" containsNonDate="0" containsDate="1" containsString="0" minDate="2026-03-30T00:00:00" maxDate="2026-07-25T00:00:00" count="7">
        <d v="2026-03-30T00:00:00"/>
        <d v="2026-04-26T00:00:00"/>
        <d v="2026-04-30T00:00:00"/>
        <d v="2026-05-26T00:00:00"/>
        <d v="2026-06-24T00:00:00"/>
        <d v="2026-06-26T00:00:00"/>
        <d v="2026-07-24T00:00:00"/>
      </sharedItems>
    </cacheField>
    <cacheField name="[ListeS].[Date (mois)].[Date (mois)]" caption="Date (mois)" numFmtId="0" hierarchy="19" level="1">
      <sharedItems count="5">
        <s v="Mar"/>
        <s v="Apr"/>
        <s v="May"/>
        <s v="Jun"/>
        <s v="Jul"/>
      </sharedItems>
    </cacheField>
    <cacheField name="[Measures].[Somme de Total 2]" caption="Somme de Total 2" numFmtId="0" hierarchy="32" level="32767"/>
    <cacheField name="Dummy0" numFmtId="0" hierarchy="34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5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2" memberValueDatatype="7" unbalanced="0">
      <fieldsUsage count="2">
        <fieldUsage x="-1"/>
        <fieldUsage x="0"/>
      </fieldsUsage>
    </cacheHierarchy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2" memberValueDatatype="130" unbalanced="0">
      <fieldsUsage count="2">
        <fieldUsage x="-1"/>
        <fieldUsage x="1"/>
      </fieldsUsage>
    </cacheHierarchy>
    <cacheHierarchy uniqueName="[TableauC].[Catégorie]" caption="Catégorie" attribute="1" defaultMemberUniqueName="[TableauC].[Catégorie].[All]" allUniqueName="[TableauC].[Catégorie].[All]" dimensionUniqueName="[TableauC]" displayFolder="" count="0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Dummy0" caption="Numéro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name="ListeE" uniqueName="[ListeE]" caption="ListeE"/>
    <dimension name="ListeS" uniqueName="[ListeS]" caption="ListeS"/>
    <dimension measure="1" name="Measures" uniqueName="[Measures]" caption="Measures"/>
    <dimension name="TableauC" uniqueName="[TableauC]" caption="TableauC"/>
    <dimension name="TableauR" uniqueName="[TableauR]" caption="TableauR"/>
  </dimensions>
  <measureGroups count="4">
    <measureGroup name="ListeE" caption="ListeE"/>
    <measureGroup name="ListeS" caption="ListeS"/>
    <measureGroup name="TableauC" caption="TableauC"/>
    <measureGroup name="TableauR" caption="TableauR"/>
  </measureGroups>
  <maps count="8">
    <map measureGroup="0" dimension="0"/>
    <map measureGroup="0" dimension="3"/>
    <map measureGroup="0" dimension="4"/>
    <map measureGroup="1" dimension="1"/>
    <map measureGroup="1" dimension="3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P" refreshedDate="46112.434960069448" backgroundQuery="1" createdVersion="3" refreshedVersion="8" minRefreshableVersion="3" recordCount="0" supportSubquery="1" supportAdvancedDrill="1" xr:uid="{11F2A54F-4B80-4E57-91B0-4F1CFAE868F4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4">
    <cacheHierarchy uniqueName="[ListeE].[Numéro]" caption="Numéro" attribute="1" defaultMemberUniqueName="[ListeE].[Numéro].[All]" allUniqueName="[ListeE].[Numéro].[All]" dimensionUniqueName="[ListeE]" displayFolder="" count="0" memberValueDatatype="20" unbalanced="0"/>
    <cacheHierarchy uniqueName="[ListeE].[Date]" caption="Date" attribute="1" time="1" defaultMemberUniqueName="[ListeE].[Date].[All]" allUniqueName="[ListeE].[Date].[All]" dimensionUniqueName="[ListeE]" displayFolder="" count="0" memberValueDatatype="7" unbalanced="0"/>
    <cacheHierarchy uniqueName="[ListeE].[Référence]" caption="Référence" attribute="1" defaultMemberUniqueName="[ListeE].[Référence].[All]" allUniqueName="[ListeE].[Référence].[All]" dimensionUniqueName="[ListeE]" displayFolder="" count="0" memberValueDatatype="130" unbalanced="0"/>
    <cacheHierarchy uniqueName="[ListeE].[Designation]" caption="Designation" attribute="1" defaultMemberUniqueName="[ListeE].[Designation].[All]" allUniqueName="[ListeE].[Designation].[All]" dimensionUniqueName="[ListeE]" displayFolder="" count="0" memberValueDatatype="130" unbalanced="0"/>
    <cacheHierarchy uniqueName="[ListeE].[Catégorie]" caption="Catégorie" attribute="1" defaultMemberUniqueName="[ListeE].[Catégorie].[All]" allUniqueName="[ListeE].[Catégorie].[All]" dimensionUniqueName="[ListeE]" displayFolder="" count="0" memberValueDatatype="130" unbalanced="0"/>
    <cacheHierarchy uniqueName="[ListeE].[Unité]" caption="Unité" attribute="1" defaultMemberUniqueName="[ListeE].[Unité].[All]" allUniqueName="[ListeE].[Unité].[All]" dimensionUniqueName="[ListeE]" displayFolder="" count="0" memberValueDatatype="130" unbalanced="0"/>
    <cacheHierarchy uniqueName="[ListeE].[Coût d'achat]" caption="Coût d'achat" attribute="1" defaultMemberUniqueName="[ListeE].[Coût d'achat].[All]" allUniqueName="[ListeE].[Coût d'achat].[All]" dimensionUniqueName="[ListeE]" displayFolder="" count="0" memberValueDatatype="20" unbalanced="0"/>
    <cacheHierarchy uniqueName="[ListeE].[Quantité]" caption="Quantité" attribute="1" defaultMemberUniqueName="[ListeE].[Quantité].[All]" allUniqueName="[ListeE].[Quantité].[All]" dimensionUniqueName="[ListeE]" displayFolder="" count="0" memberValueDatatype="20" unbalanced="0"/>
    <cacheHierarchy uniqueName="[ListeE].[Total]" caption="Total" attribute="1" defaultMemberUniqueName="[ListeE].[Total].[All]" allUniqueName="[ListeE].[Total].[All]" dimensionUniqueName="[ListeE]" displayFolder="" count="0" memberValueDatatype="20" unbalanced="0"/>
    <cacheHierarchy uniqueName="[ListeE].[Date (mois)]" caption="Date (mois)" attribute="1" defaultMemberUniqueName="[ListeE].[Date (mois)].[All]" allUniqueName="[ListeE].[Date (mois)].[All]" dimensionUniqueName="[ListeE]" displayFolder="" count="0" memberValueDatatype="130" unbalanced="0"/>
    <cacheHierarchy uniqueName="[ListeS].[Numéro]" caption="Numéro" attribute="1" defaultMemberUniqueName="[ListeS].[Numéro].[All]" allUniqueName="[ListeS].[Numéro].[All]" dimensionUniqueName="[ListeS]" displayFolder="" count="0" memberValueDatatype="20" unbalanced="0"/>
    <cacheHierarchy uniqueName="[ListeS].[Date]" caption="Date" attribute="1" time="1" defaultMemberUniqueName="[ListeS].[Date].[All]" allUniqueName="[ListeS].[Date].[All]" dimensionUniqueName="[ListeS]" displayFolder="" count="0" memberValueDatatype="7" unbalanced="0"/>
    <cacheHierarchy uniqueName="[ListeS].[Référence]" caption="Référence" attribute="1" defaultMemberUniqueName="[ListeS].[Référence].[All]" allUniqueName="[ListeS].[Référence].[All]" dimensionUniqueName="[ListeS]" displayFolder="" count="0" memberValueDatatype="130" unbalanced="0"/>
    <cacheHierarchy uniqueName="[ListeS].[Designation]" caption="Designation" attribute="1" defaultMemberUniqueName="[ListeS].[Designation].[All]" allUniqueName="[ListeS].[Designation].[All]" dimensionUniqueName="[ListeS]" displayFolder="" count="0" memberValueDatatype="130" unbalanced="0"/>
    <cacheHierarchy uniqueName="[ListeS].[Catégorie]" caption="Catégorie" attribute="1" defaultMemberUniqueName="[ListeS].[Catégorie].[All]" allUniqueName="[ListeS].[Catégorie].[All]" dimensionUniqueName="[ListeS]" displayFolder="" count="0" memberValueDatatype="130" unbalanced="0"/>
    <cacheHierarchy uniqueName="[ListeS].[Unité]" caption="Unité" attribute="1" defaultMemberUniqueName="[ListeS].[Unité].[All]" allUniqueName="[ListeS].[Unité].[All]" dimensionUniqueName="[ListeS]" displayFolder="" count="0" memberValueDatatype="130" unbalanced="0"/>
    <cacheHierarchy uniqueName="[ListeS].[Prix de vente]" caption="Prix de vente" attribute="1" defaultMemberUniqueName="[ListeS].[Prix de vente].[All]" allUniqueName="[ListeS].[Prix de vente].[All]" dimensionUniqueName="[ListeS]" displayFolder="" count="0" memberValueDatatype="20" unbalanced="0"/>
    <cacheHierarchy uniqueName="[ListeS].[Quantité]" caption="Quantité" attribute="1" defaultMemberUniqueName="[ListeS].[Quantité].[All]" allUniqueName="[ListeS].[Quantité].[All]" dimensionUniqueName="[ListeS]" displayFolder="" count="0" memberValueDatatype="20" unbalanced="0"/>
    <cacheHierarchy uniqueName="[ListeS].[Total]" caption="Total" attribute="1" defaultMemberUniqueName="[ListeS].[Total].[All]" allUniqueName="[ListeS].[Total].[All]" dimensionUniqueName="[ListeS]" displayFolder="" count="0" memberValueDatatype="20" unbalanced="0"/>
    <cacheHierarchy uniqueName="[ListeS].[Date (mois)]" caption="Date (mois)" attribute="1" defaultMemberUniqueName="[ListeS].[Date (mois)].[All]" allUniqueName="[ListeS].[Date (mois)].[All]" dimensionUniqueName="[ListeS]" displayFolder="" count="0" memberValueDatatype="130" unbalanced="0"/>
    <cacheHierarchy uniqueName="[TableauC].[Catégorie]" caption="Catégorie" attribute="1" defaultMemberUniqueName="[TableauC].[Catégorie].[All]" allUniqueName="[TableauC].[Catégorie].[All]" dimensionUniqueName="[TableauC]" displayFolder="" count="2" memberValueDatatype="130" unbalanced="0"/>
    <cacheHierarchy uniqueName="[TableauR].[Référence]" caption="Référence" attribute="1" defaultMemberUniqueName="[TableauR].[Référence].[All]" allUniqueName="[TableauR].[Référence].[All]" dimensionUniqueName="[TableauR]" displayFolder="" count="0" memberValueDatatype="130" unbalanced="0"/>
    <cacheHierarchy uniqueName="[ListeE].[Date (index des mois)]" caption="Date (index des mois)" attribute="1" defaultMemberUniqueName="[ListeE].[Date (index des mois)].[All]" allUniqueName="[ListeE].[Date (index des mois)].[All]" dimensionUniqueName="[ListeE]" displayFolder="" count="0" memberValueDatatype="20" unbalanced="0" hidden="1"/>
    <cacheHierarchy uniqueName="[ListeS].[Date (index des mois)]" caption="Date (index des mois)" attribute="1" defaultMemberUniqueName="[ListeS].[Date (index des mois)].[All]" allUniqueName="[ListeS].[Date (index des mois)].[All]" dimensionUniqueName="[ListeS]" displayFolder="" count="0" memberValueDatatype="20" unbalanced="0" hidden="1"/>
    <cacheHierarchy uniqueName="[Measures].[__XL_Count ListeE]" caption="__XL_Count ListeE" measure="1" displayFolder="" measureGroup="ListeE" count="0" hidden="1"/>
    <cacheHierarchy uniqueName="[Measures].[__XL_Count ListeS]" caption="__XL_Count ListeS" measure="1" displayFolder="" measureGroup="ListeS" count="0" hidden="1"/>
    <cacheHierarchy uniqueName="[Measures].[__XL_Count TableauC]" caption="__XL_Count TableauC" measure="1" displayFolder="" measureGroup="TableauC" count="0" hidden="1"/>
    <cacheHierarchy uniqueName="[Measures].[__XL_Count TableauR]" caption="__XL_Count TableauR" measure="1" displayFolder="" measureGroup="TableauR" count="0" hidden="1"/>
    <cacheHierarchy uniqueName="[Measures].[__Aucune mesure définie]" caption="__Aucune mesure définie" measure="1" displayFolder="" count="0" hidden="1"/>
    <cacheHierarchy uniqueName="[Measures].[Somme de Quantité]" caption="Somme de Quantité" measure="1" displayFolder="" measureGroup="Liste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me de Total]" caption="Somme de Total" measure="1" displayFolder="" measureGroup="ListeE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omme de Quantité 2]" caption="Somme de Quantité 2" measure="1" displayFolder="" measureGroup="List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me de Total 2]" caption="Somme de Total 2" measure="1" displayFolder="" measureGroup="List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Nombre de Catégorie]" caption="Nombre de Catégorie" measure="1" displayFolder="" measureGroup="Liste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046493830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s v="TEL200"/>
    <s v="SAMSUNG A55"/>
    <s v="SMARTPHONE"/>
    <s v="PEICE"/>
    <n v="10"/>
    <n v="50"/>
    <n v="115"/>
    <n v="165"/>
    <n v="0"/>
    <n v="250000"/>
    <n v="0"/>
    <s v="En rupture"/>
  </r>
  <r>
    <s v="TEL104"/>
    <s v="IPHONE"/>
    <s v="SMARTPHONE"/>
    <s v="PIECE"/>
    <n v="5"/>
    <n v="10"/>
    <n v="7"/>
    <n v="25"/>
    <n v="0"/>
    <n v="500000"/>
    <n v="0"/>
    <s v="En rupture"/>
  </r>
  <r>
    <s v="TEL001"/>
    <s v="SAMSUNG A15"/>
    <s v="SMARTPHONE"/>
    <s v="PIECE"/>
    <n v="10"/>
    <n v="40"/>
    <n v="6"/>
    <n v="50"/>
    <n v="0"/>
    <n v="180000"/>
    <n v="0"/>
    <s v="En rupture"/>
  </r>
  <r>
    <s v="TEL002"/>
    <s v="SAMSUNG A55"/>
    <s v="SMARTPHONE"/>
    <s v="PIECE"/>
    <n v="10"/>
    <n v="50"/>
    <n v="147"/>
    <n v="135"/>
    <n v="62"/>
    <n v="250000"/>
    <n v="15500000"/>
    <s v="Stock normal"/>
  </r>
  <r>
    <s v="TEL003"/>
    <s v="IPHONE 11"/>
    <s v="SMARTPHONE"/>
    <s v="PIECE"/>
    <n v="5"/>
    <n v="30"/>
    <n v="5"/>
    <n v="0"/>
    <n v="35"/>
    <n v="300000"/>
    <n v="10500000"/>
    <s v="Stock normal"/>
  </r>
  <r>
    <s v="TEL004"/>
    <s v="IPHONE 13"/>
    <s v="SMARTPHONE"/>
    <s v="PIECE"/>
    <n v="5"/>
    <n v="25"/>
    <n v="7"/>
    <n v="32"/>
    <n v="0"/>
    <n v="550000"/>
    <n v="0"/>
    <s v="En rupture"/>
  </r>
  <r>
    <s v="TEL005"/>
    <s v="INFINIX HOT 30"/>
    <s v="SMARTPHONE"/>
    <s v="PIECE"/>
    <n v="15"/>
    <n v="60"/>
    <n v="0"/>
    <n v="0"/>
    <n v="60"/>
    <n v="120000"/>
    <n v="7200000"/>
    <s v="Stock normal"/>
  </r>
  <r>
    <s v="TEL006"/>
    <s v="TECNO SPARK 10"/>
    <s v="SMARTPHONE"/>
    <s v="PIECE"/>
    <n v="15"/>
    <n v="70"/>
    <n v="8"/>
    <n v="0"/>
    <n v="78"/>
    <n v="110000"/>
    <n v="8580000"/>
    <s v="Stock normal"/>
  </r>
  <r>
    <s v="TEL007"/>
    <s v="REDMI NOTE 12"/>
    <s v="SMARTPHONE"/>
    <s v="PIECE"/>
    <n v="10"/>
    <n v="45"/>
    <n v="50"/>
    <n v="0"/>
    <n v="95"/>
    <n v="160000"/>
    <n v="15200000"/>
    <s v="Stock normal"/>
  </r>
  <r>
    <s v="TEL008"/>
    <s v="SAMSUNG S23"/>
    <s v="SMARTPHONE"/>
    <s v="PIECE"/>
    <n v="5"/>
    <n v="20"/>
    <n v="0"/>
    <n v="20"/>
    <n v="0"/>
    <n v="650000"/>
    <n v="0"/>
    <s v="En rupture"/>
  </r>
  <r>
    <s v="TEL009"/>
    <s v="IPHONE 14"/>
    <s v="SMARTPHONE"/>
    <s v="PIECE"/>
    <n v="5"/>
    <n v="15"/>
    <n v="0"/>
    <n v="11"/>
    <n v="4"/>
    <n v="750000"/>
    <n v="3000000"/>
    <s v="Stock faible"/>
  </r>
  <r>
    <s v="TEL010"/>
    <s v="TECNO CAMON 20"/>
    <s v="SMARTPHONE"/>
    <s v="PIECE"/>
    <n v="10"/>
    <n v="50"/>
    <n v="5"/>
    <n v="48"/>
    <n v="7"/>
    <n v="150000"/>
    <n v="1050000"/>
    <s v="Stock faible"/>
  </r>
  <r>
    <s v="ACC011"/>
    <s v="CHARGEUR SAMSUNG"/>
    <s v="ACCESSOIRE"/>
    <s v="PIECE"/>
    <n v="20"/>
    <n v="100"/>
    <n v="10"/>
    <n v="0"/>
    <n v="110"/>
    <n v="5000"/>
    <n v="550000"/>
    <s v="Stock normal"/>
  </r>
  <r>
    <s v="ACC012"/>
    <s v="CHARGEUR IPHONE"/>
    <s v="ACCESSOIRE"/>
    <s v="PIECE"/>
    <n v="20"/>
    <n v="90"/>
    <n v="0"/>
    <n v="0"/>
    <n v="90"/>
    <n v="8000"/>
    <n v="720000"/>
    <s v="Stock normal"/>
  </r>
  <r>
    <s v="ACC013"/>
    <s v="CABLE USB-C"/>
    <s v="ACCESSOIRE"/>
    <s v="PIECE"/>
    <n v="30"/>
    <n v="150"/>
    <n v="0"/>
    <n v="0"/>
    <n v="150"/>
    <n v="2000"/>
    <n v="300000"/>
    <s v="Stock normal"/>
  </r>
  <r>
    <s v="ACC014"/>
    <s v="CABLE LIGHTNING"/>
    <s v="ACCESSOIRE"/>
    <s v="PIECE"/>
    <n v="30"/>
    <n v="120"/>
    <n v="0"/>
    <n v="9"/>
    <n v="111"/>
    <n v="3000"/>
    <n v="333000"/>
    <s v="Stock normal"/>
  </r>
  <r>
    <s v="ACC015"/>
    <s v="ECOUTEURS BLUETOOTH"/>
    <s v="ACCESSOIRE"/>
    <s v="PIECE"/>
    <n v="15"/>
    <n v="80"/>
    <n v="0"/>
    <n v="0"/>
    <n v="80"/>
    <n v="15000"/>
    <n v="1200000"/>
    <s v="Stock normal"/>
  </r>
  <r>
    <s v="ACC016"/>
    <s v="CASQUE AUDIO"/>
    <s v="ACCESSOIRE"/>
    <s v="PIECE"/>
    <n v="10"/>
    <n v="60"/>
    <n v="0"/>
    <n v="0"/>
    <n v="60"/>
    <n v="20000"/>
    <n v="1200000"/>
    <s v="Stock normal"/>
  </r>
  <r>
    <s v="ACC017"/>
    <s v="POWER BANK 10000MAH"/>
    <s v="ACCESSOIRE"/>
    <s v="PIECE"/>
    <n v="10"/>
    <n v="70"/>
    <n v="0"/>
    <n v="0"/>
    <n v="70"/>
    <n v="12000"/>
    <n v="840000"/>
    <s v="Stock normal"/>
  </r>
  <r>
    <s v="ACC018"/>
    <s v="POWER BANK 20000MAH"/>
    <s v="ACCESSOIRE"/>
    <s v="PIECE"/>
    <n v="10"/>
    <n v="50"/>
    <n v="0"/>
    <n v="39"/>
    <n v="11"/>
    <n v="20000"/>
    <n v="220000"/>
    <s v="Stock normal"/>
  </r>
  <r>
    <s v="ACC019"/>
    <s v="COQUE IPHONE"/>
    <s v="ACCESSOIRE"/>
    <s v="PIECE"/>
    <n v="25"/>
    <n v="200"/>
    <n v="9"/>
    <n v="0"/>
    <n v="209"/>
    <n v="3000"/>
    <n v="627000"/>
    <s v="Stock normal"/>
  </r>
  <r>
    <s v="ACC020"/>
    <s v="COQUE SAMSUNG"/>
    <s v="ACCESSOIRE"/>
    <s v="PIECE"/>
    <n v="25"/>
    <n v="180"/>
    <n v="0"/>
    <n v="0"/>
    <n v="180"/>
    <n v="2500"/>
    <n v="450000"/>
    <s v="Stock normal"/>
  </r>
  <r>
    <s v="INF021"/>
    <s v="CLAVIER HP"/>
    <s v="INFORMATIQUE"/>
    <s v="PIECE"/>
    <n v="10"/>
    <n v="40"/>
    <n v="0"/>
    <n v="0"/>
    <n v="40"/>
    <n v="10000"/>
    <n v="400000"/>
    <s v="Stock normal"/>
  </r>
  <r>
    <s v="INF022"/>
    <s v="SOURIS HP"/>
    <s v="INFORMATIQUE"/>
    <s v="PIECE"/>
    <n v="15"/>
    <n v="60"/>
    <n v="0"/>
    <n v="0"/>
    <n v="60"/>
    <n v="5000"/>
    <n v="300000"/>
    <s v="Stock normal"/>
  </r>
  <r>
    <s v="INF023"/>
    <s v="ECRAN 22 POUCES"/>
    <s v="INFORMATIQUE"/>
    <s v="PIECE"/>
    <n v="5"/>
    <n v="20"/>
    <n v="0"/>
    <n v="0"/>
    <n v="20"/>
    <n v="80000"/>
    <n v="1600000"/>
    <s v="Stock normal"/>
  </r>
  <r>
    <s v="INF024"/>
    <s v="ECRAN 24 POUCES"/>
    <s v="INFORMATIQUE"/>
    <s v="PIECE"/>
    <n v="5"/>
    <n v="15"/>
    <n v="0"/>
    <n v="0"/>
    <n v="15"/>
    <n v="120000"/>
    <n v="1800000"/>
    <s v="Stock normal"/>
  </r>
  <r>
    <s v="INF025"/>
    <s v="ORDINATEUR HP"/>
    <s v="INFORMATIQUE"/>
    <s v="PIECE"/>
    <n v="5"/>
    <n v="10"/>
    <n v="0"/>
    <n v="0"/>
    <n v="10"/>
    <n v="350000"/>
    <n v="3500000"/>
    <s v="Stock normal"/>
  </r>
  <r>
    <s v="INF026"/>
    <s v="ORDINATEUR DELL"/>
    <s v="INFORMATIQUE"/>
    <s v="PIECE"/>
    <n v="5"/>
    <n v="12"/>
    <n v="65"/>
    <n v="0"/>
    <n v="77"/>
    <n v="400000"/>
    <n v="30800000"/>
    <s v="Stock normal"/>
  </r>
  <r>
    <s v="INF027"/>
    <s v="IMPRIMANTE CANON"/>
    <s v="INFORMATIQUE"/>
    <s v="PIECE"/>
    <n v="5"/>
    <n v="15"/>
    <n v="0"/>
    <n v="0"/>
    <n v="15"/>
    <n v="90000"/>
    <n v="1350000"/>
    <s v="Stock normal"/>
  </r>
  <r>
    <s v="INF028"/>
    <s v="IMPRIMANTE HP"/>
    <s v="INFORMATIQUE"/>
    <s v="PIECE"/>
    <n v="5"/>
    <n v="18"/>
    <n v="1"/>
    <n v="0"/>
    <n v="19"/>
    <n v="85000"/>
    <n v="1615000"/>
    <s v="Stock normal"/>
  </r>
  <r>
    <s v="INF029"/>
    <s v="CLÉ USB 32GB"/>
    <s v="INFORMATIQUE"/>
    <s v="PIECE"/>
    <n v="20"/>
    <n v="100"/>
    <n v="0"/>
    <n v="0"/>
    <n v="100"/>
    <n v="5000"/>
    <n v="500000"/>
    <s v="Stock normal"/>
  </r>
  <r>
    <s v="INF030"/>
    <s v="CLÉ USB 64GB"/>
    <s v="INFORMATIQUE"/>
    <s v="PIECE"/>
    <n v="20"/>
    <n v="90"/>
    <n v="9"/>
    <n v="0"/>
    <n v="99"/>
    <n v="8000"/>
    <n v="792000"/>
    <s v="Stock normal"/>
  </r>
  <r>
    <s v="INF031"/>
    <s v="DISQUE DUR 1TB"/>
    <s v="INFORMATIQUE"/>
    <s v="PIECE"/>
    <n v="10"/>
    <n v="40"/>
    <n v="0"/>
    <n v="0"/>
    <n v="40"/>
    <n v="45000"/>
    <n v="1800000"/>
    <s v="Stock normal"/>
  </r>
  <r>
    <s v="INF032"/>
    <s v="DISQUE DUR 2TB"/>
    <s v="INFORMATIQUE"/>
    <s v="PIECE"/>
    <n v="10"/>
    <n v="30"/>
    <n v="0"/>
    <n v="0"/>
    <n v="30"/>
    <n v="70000"/>
    <n v="2100000"/>
    <s v="Stock normal"/>
  </r>
  <r>
    <s v="INF033"/>
    <s v="CARTE MEMOIRE 32GB"/>
    <s v="INFORMATIQUE"/>
    <s v="PIECE"/>
    <n v="20"/>
    <n v="120"/>
    <n v="0"/>
    <n v="0"/>
    <n v="120"/>
    <n v="4000"/>
    <n v="480000"/>
    <s v="Stock normal"/>
  </r>
  <r>
    <s v="INF034"/>
    <s v="CARTE MEMOIRE 64GB"/>
    <s v="INFORMATIQUE"/>
    <s v="PIECE"/>
    <n v="20"/>
    <n v="100"/>
    <n v="0"/>
    <n v="0"/>
    <n v="100"/>
    <n v="7000"/>
    <n v="700000"/>
    <s v="Stock normal"/>
  </r>
  <r>
    <s v="RES035"/>
    <s v="ROUTEUR WIFI"/>
    <s v="RESEAU"/>
    <s v="PIECE"/>
    <n v="10"/>
    <n v="30"/>
    <n v="2"/>
    <n v="21"/>
    <n v="11"/>
    <n v="25000"/>
    <n v="275000"/>
    <s v="Stock normal"/>
  </r>
  <r>
    <s v="RES036"/>
    <s v="MODEM 4G"/>
    <s v="RESEAU"/>
    <s v="PIECE"/>
    <n v="10"/>
    <n v="25"/>
    <n v="0"/>
    <n v="0"/>
    <n v="25"/>
    <n v="30000"/>
    <n v="750000"/>
    <s v="Stock normal"/>
  </r>
  <r>
    <s v="RES037"/>
    <s v="SWITCH 8 PORTS"/>
    <s v="RESEAU"/>
    <s v="PIECE"/>
    <n v="5"/>
    <n v="20"/>
    <n v="0"/>
    <n v="20"/>
    <n v="0"/>
    <n v="20000"/>
    <n v="0"/>
    <s v="En rupture"/>
  </r>
  <r>
    <s v="RES038"/>
    <s v="SWITCH 16 PORTS"/>
    <s v="RESEAU"/>
    <s v="PIECE"/>
    <n v="5"/>
    <n v="15"/>
    <n v="0"/>
    <n v="0"/>
    <n v="15"/>
    <n v="35000"/>
    <n v="525000"/>
    <s v="Stock normal"/>
  </r>
  <r>
    <s v="RES039"/>
    <s v="CABLE RESEAU"/>
    <s v="RESEAU"/>
    <s v="PIECE"/>
    <n v="30"/>
    <n v="200"/>
    <n v="0"/>
    <n v="0"/>
    <n v="200"/>
    <n v="1000"/>
    <n v="200000"/>
    <s v="Stock normal"/>
  </r>
  <r>
    <s v="RES040"/>
    <s v="PRISE RESEAU"/>
    <s v="RESEAU"/>
    <s v="PIECE"/>
    <n v="30"/>
    <n v="180"/>
    <n v="0"/>
    <n v="0"/>
    <n v="180"/>
    <n v="1500"/>
    <n v="270000"/>
    <s v="Stock normal"/>
  </r>
  <r>
    <s v="RES041"/>
    <s v="ONDULEUR 650VA"/>
    <s v="ELECTRONIQUE"/>
    <s v="PIECE"/>
    <n v="5"/>
    <n v="25"/>
    <n v="0"/>
    <n v="0"/>
    <n v="25"/>
    <n v="30000"/>
    <n v="750000"/>
    <s v="Stock normal"/>
  </r>
  <r>
    <s v="RES042"/>
    <s v="ONDULEUR 1000VA"/>
    <s v="ELECTRONIQUE"/>
    <s v="PIECE"/>
    <n v="5"/>
    <n v="20"/>
    <n v="0"/>
    <n v="0"/>
    <n v="20"/>
    <n v="50000"/>
    <n v="1000000"/>
    <s v="Stock normal"/>
  </r>
  <r>
    <s v="ELE043"/>
    <s v="VENTILATEUR"/>
    <s v="ELECTROMENAGER"/>
    <s v="PIECE"/>
    <n v="10"/>
    <n v="40"/>
    <n v="0"/>
    <n v="0"/>
    <n v="40"/>
    <n v="25000"/>
    <n v="1000000"/>
    <s v="Stock normal"/>
  </r>
  <r>
    <s v="ELE044"/>
    <s v="CLIMATISEUR"/>
    <s v="ELECTROMENAGER"/>
    <s v="PIECE"/>
    <n v="3"/>
    <n v="10"/>
    <n v="0"/>
    <n v="10"/>
    <n v="0"/>
    <n v="300000"/>
    <n v="0"/>
    <s v="En rupture"/>
  </r>
  <r>
    <s v="ELE045"/>
    <s v="TELEVISEUR 32"/>
    <s v="ELECTRONIQUE"/>
    <s v="PIECE"/>
    <n v="5"/>
    <n v="20"/>
    <n v="4"/>
    <n v="0"/>
    <n v="24"/>
    <n v="120000"/>
    <n v="2880000"/>
    <s v="Stock normal"/>
  </r>
  <r>
    <s v="ELE046"/>
    <s v="TELEVISEUR 43"/>
    <s v="ELECTRONIQUE"/>
    <s v="PIECE"/>
    <n v="5"/>
    <n v="15"/>
    <n v="10"/>
    <n v="0"/>
    <n v="25"/>
    <n v="180000"/>
    <n v="4500000"/>
    <s v="Stock normal"/>
  </r>
  <r>
    <s v="ELE047"/>
    <s v="TELEVISEUR 55"/>
    <s v="ELECTRONIQUE"/>
    <s v="PIECE"/>
    <n v="3"/>
    <n v="10"/>
    <n v="0"/>
    <n v="0"/>
    <n v="10"/>
    <n v="300000"/>
    <n v="3000000"/>
    <s v="Stock normal"/>
  </r>
  <r>
    <s v="ELE048"/>
    <s v="MACHINE A LAVER"/>
    <s v="ELECTROMENAGER"/>
    <s v="PIECE"/>
    <n v="3"/>
    <n v="8"/>
    <n v="0"/>
    <n v="0"/>
    <n v="8"/>
    <n v="250000"/>
    <n v="2000000"/>
    <s v="Stock normal"/>
  </r>
  <r>
    <s v="ELE049"/>
    <s v="REFRIGERATEUR"/>
    <s v="ELECTROMENAGER"/>
    <s v="PIECE"/>
    <n v="3"/>
    <n v="6"/>
    <n v="0"/>
    <n v="0"/>
    <n v="6"/>
    <n v="400000"/>
    <n v="2400000"/>
    <s v="Stock normal"/>
  </r>
  <r>
    <s v="ELE050"/>
    <s v="MICRO ONDE"/>
    <s v="ELECTROMENAGER"/>
    <s v="PIECE"/>
    <n v="5"/>
    <n v="20"/>
    <n v="0"/>
    <n v="0"/>
    <n v="20"/>
    <n v="80000"/>
    <n v="1600000"/>
    <s v="Stock normal"/>
  </r>
  <r>
    <s v="ALI051"/>
    <s v="RIZ 25KG"/>
    <s v="ALIMENTAIRE"/>
    <s v="SAC"/>
    <n v="10"/>
    <n v="100"/>
    <n v="0"/>
    <n v="0"/>
    <n v="100"/>
    <n v="15000"/>
    <n v="1500000"/>
    <s v="Stock normal"/>
  </r>
  <r>
    <s v="ALI052"/>
    <s v="SUCRE 1KG"/>
    <s v="ALIMENTAIRE"/>
    <s v="PIECE"/>
    <n v="30"/>
    <n v="200"/>
    <n v="0"/>
    <n v="0"/>
    <n v="200"/>
    <n v="800"/>
    <n v="160000"/>
    <s v="Stock normal"/>
  </r>
  <r>
    <s v="ALI053"/>
    <s v="HUILE 1L"/>
    <s v="ALIMENTAIRE"/>
    <s v="PIECE"/>
    <n v="20"/>
    <n v="150"/>
    <n v="0"/>
    <n v="0"/>
    <n v="150"/>
    <n v="1500"/>
    <n v="225000"/>
    <s v="Stock normal"/>
  </r>
  <r>
    <s v="ALI054"/>
    <s v="LAIT EN POUDRE"/>
    <s v="ALIMENTAIRE"/>
    <s v="PIECE"/>
    <n v="20"/>
    <n v="120"/>
    <n v="0"/>
    <n v="30"/>
    <n v="90"/>
    <n v="2500"/>
    <n v="225000"/>
    <s v="Stock normal"/>
  </r>
  <r>
    <s v="ALI055"/>
    <s v="PATES 500G"/>
    <s v="ALIMENTAIRE"/>
    <s v="PIECE"/>
    <n v="30"/>
    <n v="180"/>
    <n v="0"/>
    <n v="0"/>
    <n v="180"/>
    <n v="700"/>
    <n v="126000"/>
    <s v="Stock normal"/>
  </r>
  <r>
    <s v="ALI056"/>
    <s v="EAU MINERALE"/>
    <s v="ALIMENTAIRE"/>
    <s v="PAQUET"/>
    <n v="30"/>
    <n v="300"/>
    <n v="0"/>
    <n v="0"/>
    <n v="300"/>
    <n v="2500"/>
    <n v="750000"/>
    <s v="Stock normal"/>
  </r>
  <r>
    <s v="ALI057"/>
    <s v="JUS EN BOUTEILLE"/>
    <s v="ALIMENTAIRE"/>
    <s v="PIECE"/>
    <n v="20"/>
    <n v="150"/>
    <n v="0"/>
    <n v="0"/>
    <n v="150"/>
    <n v="1000"/>
    <n v="150000"/>
    <s v="Stock normal"/>
  </r>
  <r>
    <s v="ALI058"/>
    <s v="BISCUITS"/>
    <s v="ALIMENTAIRE"/>
    <s v="PIECE"/>
    <n v="30"/>
    <n v="200"/>
    <n v="0"/>
    <n v="0"/>
    <n v="200"/>
    <n v="500"/>
    <n v="100000"/>
    <s v="Stock normal"/>
  </r>
  <r>
    <s v="ALI059"/>
    <s v="CAFE"/>
    <s v="ALIMENTAIRE"/>
    <s v="PIECE"/>
    <n v="20"/>
    <n v="100"/>
    <n v="0"/>
    <n v="0"/>
    <n v="100"/>
    <n v="2000"/>
    <n v="200000"/>
    <s v="Stock normal"/>
  </r>
  <r>
    <s v="ALI060"/>
    <s v="THE"/>
    <s v="ALIMENTAIRE"/>
    <s v="PIECE"/>
    <n v="20"/>
    <n v="90"/>
    <n v="0"/>
    <n v="0"/>
    <n v="90"/>
    <n v="1500"/>
    <n v="135000"/>
    <s v="Stock normal"/>
  </r>
  <r>
    <s v="ENT061"/>
    <s v="SAVON"/>
    <s v="ENTRETIEN"/>
    <s v="PIECE"/>
    <n v="30"/>
    <n v="200"/>
    <n v="0"/>
    <n v="0"/>
    <n v="200"/>
    <n v="500"/>
    <n v="100000"/>
    <s v="Stock normal"/>
  </r>
  <r>
    <s v="ENT062"/>
    <s v="EAU DE JAVEL"/>
    <s v="ENTRETIEN"/>
    <s v="PIECE"/>
    <n v="20"/>
    <n v="150"/>
    <n v="0"/>
    <n v="0"/>
    <n v="150"/>
    <n v="1000"/>
    <n v="150000"/>
    <s v="Stock normal"/>
  </r>
  <r>
    <s v="ENT063"/>
    <s v="DETERGENT"/>
    <s v="ENTRETIEN"/>
    <s v="PIECE"/>
    <n v="20"/>
    <n v="140"/>
    <n v="0"/>
    <n v="0"/>
    <n v="140"/>
    <n v="1500"/>
    <n v="210000"/>
    <s v="Stock normal"/>
  </r>
  <r>
    <s v="ENT064"/>
    <s v="BALAI"/>
    <s v="ENTRETIEN"/>
    <s v="PIECE"/>
    <n v="10"/>
    <n v="50"/>
    <n v="0"/>
    <n v="0"/>
    <n v="50"/>
    <n v="3000"/>
    <n v="150000"/>
    <s v="Stock normal"/>
  </r>
  <r>
    <s v="ENT065"/>
    <s v="SERPILLIERE"/>
    <s v="ENTRETIEN"/>
    <s v="PIECE"/>
    <n v="10"/>
    <n v="60"/>
    <n v="0"/>
    <n v="0"/>
    <n v="60"/>
    <n v="2500"/>
    <n v="150000"/>
    <s v="Stock normal"/>
  </r>
  <r>
    <s v="ENT066"/>
    <s v="SEAU"/>
    <s v="ENTRETIEN"/>
    <s v="PIECE"/>
    <n v="10"/>
    <n v="40"/>
    <n v="0"/>
    <n v="0"/>
    <n v="40"/>
    <n v="2000"/>
    <n v="80000"/>
    <s v="Stock normal"/>
  </r>
  <r>
    <s v="ENT067"/>
    <s v="EPONGE"/>
    <s v="ENTRETIEN"/>
    <s v="PIECE"/>
    <n v="30"/>
    <n v="180"/>
    <n v="0"/>
    <n v="0"/>
    <n v="180"/>
    <n v="300"/>
    <n v="54000"/>
    <s v="Stock normal"/>
  </r>
  <r>
    <s v="ENT068"/>
    <s v="PAPIER TOILETTE"/>
    <s v="ENTRETIEN"/>
    <s v="PAQUET"/>
    <n v="30"/>
    <n v="200"/>
    <n v="0"/>
    <n v="0"/>
    <n v="200"/>
    <n v="2500"/>
    <n v="500000"/>
    <s v="Stock normal"/>
  </r>
  <r>
    <s v="ENT069"/>
    <s v="MOUCHOIR"/>
    <s v="ENTRETIEN"/>
    <s v="PAQUET"/>
    <n v="30"/>
    <n v="180"/>
    <n v="0"/>
    <n v="0"/>
    <n v="180"/>
    <n v="1000"/>
    <n v="180000"/>
    <s v="Stock normal"/>
  </r>
  <r>
    <s v="ENT070"/>
    <s v="DESINFECTANT"/>
    <s v="ENTRETIEN"/>
    <s v="PIECE"/>
    <n v="20"/>
    <n v="120"/>
    <n v="0"/>
    <n v="0"/>
    <n v="120"/>
    <n v="2000"/>
    <n v="240000"/>
    <s v="Stock normal"/>
  </r>
  <r>
    <s v="BUR071"/>
    <s v="STYLO"/>
    <s v="FOURNITURE"/>
    <s v="PIECE"/>
    <n v="50"/>
    <n v="500"/>
    <n v="0"/>
    <n v="0"/>
    <n v="500"/>
    <n v="100"/>
    <n v="50000"/>
    <s v="Stock normal"/>
  </r>
  <r>
    <s v="BUR072"/>
    <s v="CAHIER"/>
    <s v="FOURNITURE"/>
    <s v="PIECE"/>
    <n v="40"/>
    <n v="400"/>
    <n v="0"/>
    <n v="0"/>
    <n v="400"/>
    <n v="500"/>
    <n v="200000"/>
    <s v="Stock normal"/>
  </r>
  <r>
    <s v="BUR073"/>
    <s v="CLASSEUR"/>
    <s v="FOURNITURE"/>
    <s v="PIECE"/>
    <n v="20"/>
    <n v="200"/>
    <n v="0"/>
    <n v="0"/>
    <n v="200"/>
    <n v="1500"/>
    <n v="300000"/>
    <s v="Stock normal"/>
  </r>
  <r>
    <s v="BUR074"/>
    <s v="PAPIER A4"/>
    <s v="FOURNITURE"/>
    <s v="RAME"/>
    <n v="20"/>
    <n v="150"/>
    <n v="0"/>
    <n v="0"/>
    <n v="150"/>
    <n v="3000"/>
    <n v="450000"/>
    <s v="Stock normal"/>
  </r>
  <r>
    <s v="BUR075"/>
    <s v="AGRAFEUSE"/>
    <s v="FOURNITURE"/>
    <s v="PIECE"/>
    <n v="10"/>
    <n v="50"/>
    <n v="0"/>
    <n v="0"/>
    <n v="50"/>
    <n v="2500"/>
    <n v="125000"/>
    <s v="Stock normal"/>
  </r>
  <r>
    <s v="BUR076"/>
    <s v="CALCULATRICE"/>
    <s v="FOURNITURE"/>
    <s v="PIECE"/>
    <n v="10"/>
    <n v="40"/>
    <n v="0"/>
    <n v="0"/>
    <n v="40"/>
    <n v="5000"/>
    <n v="200000"/>
    <s v="Stock normal"/>
  </r>
  <r>
    <s v="BUR077"/>
    <s v="MARQUEUR"/>
    <s v="FOURNITURE"/>
    <s v="PIECE"/>
    <n v="20"/>
    <n v="150"/>
    <n v="0"/>
    <n v="0"/>
    <n v="150"/>
    <n v="300"/>
    <n v="45000"/>
    <s v="Stock normal"/>
  </r>
  <r>
    <s v="BUR078"/>
    <s v="CRAYON"/>
    <s v="FOURNITURE"/>
    <s v="PIECE"/>
    <n v="50"/>
    <n v="400"/>
    <n v="0"/>
    <n v="0"/>
    <n v="400"/>
    <n v="100"/>
    <n v="40000"/>
    <s v="Stock normal"/>
  </r>
  <r>
    <s v="BUR079"/>
    <s v="GOMME"/>
    <s v="FOURNITURE"/>
    <s v="PIECE"/>
    <n v="50"/>
    <n v="300"/>
    <n v="0"/>
    <n v="0"/>
    <n v="300"/>
    <n v="50"/>
    <n v="15000"/>
    <s v="Stock normal"/>
  </r>
  <r>
    <s v="BUR080"/>
    <s v="REGLE"/>
    <s v="FOURNITURE"/>
    <s v="PIECE"/>
    <n v="30"/>
    <n v="200"/>
    <n v="0"/>
    <n v="0"/>
    <n v="200"/>
    <n v="200"/>
    <n v="40000"/>
    <s v="Stock normal"/>
  </r>
  <r>
    <s v="BTP081"/>
    <s v="CIMENT"/>
    <s v="CONSTRUCTION"/>
    <s v="SAC"/>
    <n v="20"/>
    <n v="200"/>
    <n v="0"/>
    <n v="0"/>
    <n v="200"/>
    <n v="6000"/>
    <n v="1200000"/>
    <s v="Stock normal"/>
  </r>
  <r>
    <s v="BTP082"/>
    <s v="SABLE"/>
    <s v="CONSTRUCTION"/>
    <s v="TONNE"/>
    <n v="10"/>
    <n v="100"/>
    <n v="0"/>
    <n v="0"/>
    <n v="100"/>
    <n v="15000"/>
    <n v="1500000"/>
    <s v="Stock normal"/>
  </r>
  <r>
    <s v="BTP083"/>
    <s v="GRAVIER"/>
    <s v="CONSTRUCTION"/>
    <s v="TONNE"/>
    <n v="10"/>
    <n v="90"/>
    <n v="0"/>
    <n v="0"/>
    <n v="90"/>
    <n v="18000"/>
    <n v="1620000"/>
    <s v="Stock normal"/>
  </r>
  <r>
    <s v="BTP084"/>
    <s v="FER A BETON"/>
    <s v="CONSTRUCTION"/>
    <s v="PIECE"/>
    <n v="20"/>
    <n v="150"/>
    <n v="0"/>
    <n v="0"/>
    <n v="150"/>
    <n v="5000"/>
    <n v="750000"/>
    <s v="Stock normal"/>
  </r>
  <r>
    <s v="BTP085"/>
    <s v="PEINTURE"/>
    <s v="CONSTRUCTION"/>
    <s v="BIDON"/>
    <n v="10"/>
    <n v="80"/>
    <n v="0"/>
    <n v="0"/>
    <n v="80"/>
    <n v="20000"/>
    <n v="1600000"/>
    <s v="Stock normal"/>
  </r>
  <r>
    <s v="BTP086"/>
    <s v="PINCEAU"/>
    <s v="CONSTRUCTION"/>
    <s v="PIECE"/>
    <n v="20"/>
    <n v="100"/>
    <n v="0"/>
    <n v="0"/>
    <n v="100"/>
    <n v="1500"/>
    <n v="150000"/>
    <s v="Stock normal"/>
  </r>
  <r>
    <s v="BTP087"/>
    <s v="MARTEAU"/>
    <s v="CONSTRUCTION"/>
    <s v="PIECE"/>
    <n v="10"/>
    <n v="50"/>
    <n v="0"/>
    <n v="0"/>
    <n v="50"/>
    <n v="3000"/>
    <n v="150000"/>
    <s v="Stock normal"/>
  </r>
  <r>
    <s v="BTP088"/>
    <s v="SCIE"/>
    <s v="CONSTRUCTION"/>
    <s v="PIECE"/>
    <n v="10"/>
    <n v="40"/>
    <n v="0"/>
    <n v="0"/>
    <n v="40"/>
    <n v="4000"/>
    <n v="160000"/>
    <s v="Stock normal"/>
  </r>
  <r>
    <s v="BTP089"/>
    <s v="CLOUS"/>
    <s v="CONSTRUCTION"/>
    <s v="KG"/>
    <n v="30"/>
    <n v="200"/>
    <n v="0"/>
    <n v="0"/>
    <n v="200"/>
    <n v="1000"/>
    <n v="200000"/>
    <s v="Stock normal"/>
  </r>
  <r>
    <s v="BTP090"/>
    <s v="TUYAU PVC"/>
    <s v="CONSTRUCTION"/>
    <s v="PIECE"/>
    <n v="20"/>
    <n v="150"/>
    <n v="0"/>
    <n v="0"/>
    <n v="150"/>
    <n v="2500"/>
    <n v="375000"/>
    <s v="Stock normal"/>
  </r>
  <r>
    <s v="AUT091"/>
    <s v="LAMPE LED"/>
    <s v="ELECTRONIQUE"/>
    <s v="PIECE"/>
    <n v="30"/>
    <n v="200"/>
    <n v="0"/>
    <n v="0"/>
    <n v="200"/>
    <n v="2000"/>
    <n v="400000"/>
    <s v="Stock normal"/>
  </r>
  <r>
    <s v="AUT092"/>
    <s v="PROJECTEUR"/>
    <s v="ELECTRONIQUE"/>
    <s v="PIECE"/>
    <n v="10"/>
    <n v="60"/>
    <n v="0"/>
    <n v="6"/>
    <n v="54"/>
    <n v="150000"/>
    <n v="8100000"/>
    <s v="Stock normal"/>
  </r>
  <r>
    <s v="AUT093"/>
    <s v="BATTERIE AUTO"/>
    <s v="AUTOMOBILE"/>
    <s v="PIECE"/>
    <n v="10"/>
    <n v="40"/>
    <n v="0"/>
    <n v="0"/>
    <n v="40"/>
    <n v="500000"/>
    <n v="20000000"/>
    <s v="Stock normal"/>
  </r>
  <r>
    <s v="AUT094"/>
    <s v="HUILE MOTEUR"/>
    <s v="AUTOMOBILE"/>
    <s v="BIDON"/>
    <n v="10"/>
    <n v="50"/>
    <n v="0"/>
    <n v="0"/>
    <n v="50"/>
    <n v="10000"/>
    <n v="500000"/>
    <s v="Stock normal"/>
  </r>
  <r>
    <s v="AUT095"/>
    <s v="PNEU"/>
    <s v="AUTOMOBILE"/>
    <s v="PIECE"/>
    <n v="10"/>
    <n v="60"/>
    <n v="0"/>
    <n v="0"/>
    <n v="60"/>
    <n v="35000"/>
    <n v="2100000"/>
    <s v="Stock normal"/>
  </r>
  <r>
    <s v="AUT096"/>
    <s v="FILTRE A HUILE"/>
    <s v="AUTOMOBILE"/>
    <s v="PIECE"/>
    <n v="20"/>
    <n v="100"/>
    <n v="0"/>
    <n v="0"/>
    <n v="100"/>
    <n v="5000"/>
    <n v="500000"/>
    <s v="Stock normal"/>
  </r>
  <r>
    <s v="AUT097"/>
    <s v="FILTRE A AIR"/>
    <s v="AUTOMOBILE"/>
    <s v="PIECE"/>
    <n v="20"/>
    <n v="90"/>
    <n v="0"/>
    <n v="0"/>
    <n v="90"/>
    <n v="4000"/>
    <n v="360000"/>
    <s v="Stock normal"/>
  </r>
  <r>
    <s v="AUT098"/>
    <s v="BOUGIE"/>
    <s v="AUTOMOBILE"/>
    <s v="PIECE"/>
    <n v="30"/>
    <n v="120"/>
    <n v="0"/>
    <n v="0"/>
    <n v="120"/>
    <n v="2000"/>
    <n v="240000"/>
    <s v="Stock normal"/>
  </r>
  <r>
    <s v="AUT099"/>
    <s v="RADIATEUR"/>
    <s v="AUTOMOBILE"/>
    <s v="PIECE"/>
    <n v="5"/>
    <n v="20"/>
    <n v="0"/>
    <n v="2"/>
    <n v="18"/>
    <n v="80000"/>
    <n v="1440000"/>
    <s v="Stock normal"/>
  </r>
  <r>
    <s v="AUT100"/>
    <s v="ALTERNATEUR"/>
    <s v="AUTOMOBILE"/>
    <s v="PIECE"/>
    <n v="5"/>
    <n v="15"/>
    <n v="0"/>
    <n v="0"/>
    <n v="15"/>
    <n v="90000"/>
    <n v="1350000"/>
    <s v="Stock normal"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  <r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s v="TEL200"/>
    <x v="0"/>
    <x v="0"/>
    <s v="PEICE"/>
    <n v="10"/>
    <n v="50"/>
    <n v="115"/>
    <n v="165"/>
    <n v="0"/>
    <n v="250000"/>
    <n v="0"/>
    <s v="En rupture"/>
  </r>
  <r>
    <s v="TEL104"/>
    <x v="1"/>
    <x v="0"/>
    <s v="PIECE"/>
    <n v="5"/>
    <n v="10"/>
    <n v="7"/>
    <n v="25"/>
    <n v="0"/>
    <n v="500000"/>
    <n v="0"/>
    <s v="En rupture"/>
  </r>
  <r>
    <s v="TEL001"/>
    <x v="2"/>
    <x v="0"/>
    <s v="PIECE"/>
    <n v="10"/>
    <n v="40"/>
    <n v="6"/>
    <n v="50"/>
    <n v="0"/>
    <n v="180000"/>
    <n v="0"/>
    <s v="En rupture"/>
  </r>
  <r>
    <s v="TEL002"/>
    <x v="0"/>
    <x v="0"/>
    <s v="PIECE"/>
    <n v="10"/>
    <n v="50"/>
    <n v="147"/>
    <n v="135"/>
    <n v="62"/>
    <n v="250000"/>
    <n v="15500000"/>
    <s v="Stock normal"/>
  </r>
  <r>
    <s v="TEL003"/>
    <x v="3"/>
    <x v="0"/>
    <s v="PIECE"/>
    <n v="5"/>
    <n v="30"/>
    <n v="5"/>
    <n v="0"/>
    <n v="35"/>
    <n v="300000"/>
    <n v="10500000"/>
    <s v="Stock normal"/>
  </r>
  <r>
    <s v="TEL004"/>
    <x v="4"/>
    <x v="0"/>
    <s v="PIECE"/>
    <n v="5"/>
    <n v="25"/>
    <n v="7"/>
    <n v="32"/>
    <n v="0"/>
    <n v="550000"/>
    <n v="0"/>
    <s v="En rupture"/>
  </r>
  <r>
    <s v="TEL005"/>
    <x v="5"/>
    <x v="0"/>
    <s v="PIECE"/>
    <n v="15"/>
    <n v="60"/>
    <n v="0"/>
    <n v="0"/>
    <n v="60"/>
    <n v="120000"/>
    <n v="7200000"/>
    <s v="Stock normal"/>
  </r>
  <r>
    <s v="TEL006"/>
    <x v="6"/>
    <x v="0"/>
    <s v="PIECE"/>
    <n v="15"/>
    <n v="70"/>
    <n v="8"/>
    <n v="0"/>
    <n v="78"/>
    <n v="110000"/>
    <n v="8580000"/>
    <s v="Stock normal"/>
  </r>
  <r>
    <s v="TEL007"/>
    <x v="7"/>
    <x v="0"/>
    <s v="PIECE"/>
    <n v="10"/>
    <n v="45"/>
    <n v="50"/>
    <n v="0"/>
    <n v="95"/>
    <n v="160000"/>
    <n v="15200000"/>
    <s v="Stock normal"/>
  </r>
  <r>
    <s v="TEL008"/>
    <x v="8"/>
    <x v="0"/>
    <s v="PIECE"/>
    <n v="5"/>
    <n v="20"/>
    <n v="0"/>
    <n v="20"/>
    <n v="0"/>
    <n v="650000"/>
    <n v="0"/>
    <s v="En rupture"/>
  </r>
  <r>
    <s v="TEL009"/>
    <x v="9"/>
    <x v="0"/>
    <s v="PIECE"/>
    <n v="5"/>
    <n v="15"/>
    <n v="0"/>
    <n v="11"/>
    <n v="4"/>
    <n v="750000"/>
    <n v="3000000"/>
    <s v="Stock faible"/>
  </r>
  <r>
    <s v="TEL010"/>
    <x v="10"/>
    <x v="0"/>
    <s v="PIECE"/>
    <n v="10"/>
    <n v="50"/>
    <n v="5"/>
    <n v="48"/>
    <n v="7"/>
    <n v="150000"/>
    <n v="1050000"/>
    <s v="Stock faible"/>
  </r>
  <r>
    <s v="ACC011"/>
    <x v="11"/>
    <x v="1"/>
    <s v="PIECE"/>
    <n v="20"/>
    <n v="100"/>
    <n v="10"/>
    <n v="0"/>
    <n v="110"/>
    <n v="5000"/>
    <n v="550000"/>
    <s v="Stock normal"/>
  </r>
  <r>
    <s v="ACC012"/>
    <x v="12"/>
    <x v="1"/>
    <s v="PIECE"/>
    <n v="20"/>
    <n v="90"/>
    <n v="0"/>
    <n v="0"/>
    <n v="90"/>
    <n v="8000"/>
    <n v="720000"/>
    <s v="Stock normal"/>
  </r>
  <r>
    <s v="ACC013"/>
    <x v="13"/>
    <x v="1"/>
    <s v="PIECE"/>
    <n v="30"/>
    <n v="150"/>
    <n v="0"/>
    <n v="0"/>
    <n v="150"/>
    <n v="2000"/>
    <n v="300000"/>
    <s v="Stock normal"/>
  </r>
  <r>
    <s v="ACC014"/>
    <x v="14"/>
    <x v="1"/>
    <s v="PIECE"/>
    <n v="30"/>
    <n v="120"/>
    <n v="0"/>
    <n v="9"/>
    <n v="111"/>
    <n v="3000"/>
    <n v="333000"/>
    <s v="Stock normal"/>
  </r>
  <r>
    <s v="ACC015"/>
    <x v="15"/>
    <x v="1"/>
    <s v="PIECE"/>
    <n v="15"/>
    <n v="80"/>
    <n v="0"/>
    <n v="0"/>
    <n v="80"/>
    <n v="15000"/>
    <n v="1200000"/>
    <s v="Stock normal"/>
  </r>
  <r>
    <s v="ACC016"/>
    <x v="16"/>
    <x v="1"/>
    <s v="PIECE"/>
    <n v="10"/>
    <n v="60"/>
    <n v="0"/>
    <n v="0"/>
    <n v="60"/>
    <n v="20000"/>
    <n v="1200000"/>
    <s v="Stock normal"/>
  </r>
  <r>
    <s v="ACC017"/>
    <x v="17"/>
    <x v="1"/>
    <s v="PIECE"/>
    <n v="10"/>
    <n v="70"/>
    <n v="0"/>
    <n v="0"/>
    <n v="70"/>
    <n v="12000"/>
    <n v="840000"/>
    <s v="Stock normal"/>
  </r>
  <r>
    <s v="ACC018"/>
    <x v="18"/>
    <x v="1"/>
    <s v="PIECE"/>
    <n v="10"/>
    <n v="50"/>
    <n v="0"/>
    <n v="39"/>
    <n v="11"/>
    <n v="20000"/>
    <n v="220000"/>
    <s v="Stock normal"/>
  </r>
  <r>
    <s v="ACC019"/>
    <x v="19"/>
    <x v="1"/>
    <s v="PIECE"/>
    <n v="25"/>
    <n v="200"/>
    <n v="9"/>
    <n v="0"/>
    <n v="209"/>
    <n v="3000"/>
    <n v="627000"/>
    <s v="Stock normal"/>
  </r>
  <r>
    <s v="ACC020"/>
    <x v="20"/>
    <x v="1"/>
    <s v="PIECE"/>
    <n v="25"/>
    <n v="180"/>
    <n v="0"/>
    <n v="0"/>
    <n v="180"/>
    <n v="2500"/>
    <n v="450000"/>
    <s v="Stock normal"/>
  </r>
  <r>
    <s v="INF021"/>
    <x v="21"/>
    <x v="2"/>
    <s v="PIECE"/>
    <n v="10"/>
    <n v="40"/>
    <n v="0"/>
    <n v="0"/>
    <n v="40"/>
    <n v="10000"/>
    <n v="400000"/>
    <s v="Stock normal"/>
  </r>
  <r>
    <s v="INF022"/>
    <x v="22"/>
    <x v="2"/>
    <s v="PIECE"/>
    <n v="15"/>
    <n v="60"/>
    <n v="0"/>
    <n v="0"/>
    <n v="60"/>
    <n v="5000"/>
    <n v="300000"/>
    <s v="Stock normal"/>
  </r>
  <r>
    <s v="INF023"/>
    <x v="23"/>
    <x v="2"/>
    <s v="PIECE"/>
    <n v="5"/>
    <n v="20"/>
    <n v="0"/>
    <n v="0"/>
    <n v="20"/>
    <n v="80000"/>
    <n v="1600000"/>
    <s v="Stock normal"/>
  </r>
  <r>
    <s v="INF024"/>
    <x v="24"/>
    <x v="2"/>
    <s v="PIECE"/>
    <n v="5"/>
    <n v="15"/>
    <n v="0"/>
    <n v="0"/>
    <n v="15"/>
    <n v="120000"/>
    <n v="1800000"/>
    <s v="Stock normal"/>
  </r>
  <r>
    <s v="INF025"/>
    <x v="25"/>
    <x v="2"/>
    <s v="PIECE"/>
    <n v="5"/>
    <n v="10"/>
    <n v="0"/>
    <n v="0"/>
    <n v="10"/>
    <n v="350000"/>
    <n v="3500000"/>
    <s v="Stock normal"/>
  </r>
  <r>
    <s v="INF026"/>
    <x v="26"/>
    <x v="2"/>
    <s v="PIECE"/>
    <n v="5"/>
    <n v="12"/>
    <n v="65"/>
    <n v="0"/>
    <n v="77"/>
    <n v="400000"/>
    <n v="30800000"/>
    <s v="Stock normal"/>
  </r>
  <r>
    <s v="INF027"/>
    <x v="27"/>
    <x v="2"/>
    <s v="PIECE"/>
    <n v="5"/>
    <n v="15"/>
    <n v="0"/>
    <n v="0"/>
    <n v="15"/>
    <n v="90000"/>
    <n v="1350000"/>
    <s v="Stock normal"/>
  </r>
  <r>
    <s v="INF028"/>
    <x v="28"/>
    <x v="2"/>
    <s v="PIECE"/>
    <n v="5"/>
    <n v="18"/>
    <n v="1"/>
    <n v="0"/>
    <n v="19"/>
    <n v="85000"/>
    <n v="1615000"/>
    <s v="Stock normal"/>
  </r>
  <r>
    <s v="INF029"/>
    <x v="29"/>
    <x v="2"/>
    <s v="PIECE"/>
    <n v="20"/>
    <n v="100"/>
    <n v="0"/>
    <n v="0"/>
    <n v="100"/>
    <n v="5000"/>
    <n v="500000"/>
    <s v="Stock normal"/>
  </r>
  <r>
    <s v="INF030"/>
    <x v="30"/>
    <x v="2"/>
    <s v="PIECE"/>
    <n v="20"/>
    <n v="90"/>
    <n v="9"/>
    <n v="0"/>
    <n v="99"/>
    <n v="8000"/>
    <n v="792000"/>
    <s v="Stock normal"/>
  </r>
  <r>
    <s v="INF031"/>
    <x v="31"/>
    <x v="2"/>
    <s v="PIECE"/>
    <n v="10"/>
    <n v="40"/>
    <n v="0"/>
    <n v="0"/>
    <n v="40"/>
    <n v="45000"/>
    <n v="1800000"/>
    <s v="Stock normal"/>
  </r>
  <r>
    <s v="INF032"/>
    <x v="32"/>
    <x v="2"/>
    <s v="PIECE"/>
    <n v="10"/>
    <n v="30"/>
    <n v="0"/>
    <n v="0"/>
    <n v="30"/>
    <n v="70000"/>
    <n v="2100000"/>
    <s v="Stock normal"/>
  </r>
  <r>
    <s v="INF033"/>
    <x v="33"/>
    <x v="2"/>
    <s v="PIECE"/>
    <n v="20"/>
    <n v="120"/>
    <n v="0"/>
    <n v="0"/>
    <n v="120"/>
    <n v="4000"/>
    <n v="480000"/>
    <s v="Stock normal"/>
  </r>
  <r>
    <s v="INF034"/>
    <x v="34"/>
    <x v="2"/>
    <s v="PIECE"/>
    <n v="20"/>
    <n v="100"/>
    <n v="0"/>
    <n v="0"/>
    <n v="100"/>
    <n v="7000"/>
    <n v="700000"/>
    <s v="Stock normal"/>
  </r>
  <r>
    <s v="RES035"/>
    <x v="35"/>
    <x v="3"/>
    <s v="PIECE"/>
    <n v="10"/>
    <n v="30"/>
    <n v="2"/>
    <n v="21"/>
    <n v="11"/>
    <n v="25000"/>
    <n v="275000"/>
    <s v="Stock normal"/>
  </r>
  <r>
    <s v="RES036"/>
    <x v="36"/>
    <x v="3"/>
    <s v="PIECE"/>
    <n v="10"/>
    <n v="25"/>
    <n v="0"/>
    <n v="0"/>
    <n v="25"/>
    <n v="30000"/>
    <n v="750000"/>
    <s v="Stock normal"/>
  </r>
  <r>
    <s v="RES037"/>
    <x v="37"/>
    <x v="3"/>
    <s v="PIECE"/>
    <n v="5"/>
    <n v="20"/>
    <n v="0"/>
    <n v="20"/>
    <n v="0"/>
    <n v="20000"/>
    <n v="0"/>
    <s v="En rupture"/>
  </r>
  <r>
    <s v="RES038"/>
    <x v="38"/>
    <x v="3"/>
    <s v="PIECE"/>
    <n v="5"/>
    <n v="15"/>
    <n v="0"/>
    <n v="0"/>
    <n v="15"/>
    <n v="35000"/>
    <n v="525000"/>
    <s v="Stock normal"/>
  </r>
  <r>
    <s v="RES039"/>
    <x v="39"/>
    <x v="3"/>
    <s v="PIECE"/>
    <n v="30"/>
    <n v="200"/>
    <n v="0"/>
    <n v="0"/>
    <n v="200"/>
    <n v="1000"/>
    <n v="200000"/>
    <s v="Stock normal"/>
  </r>
  <r>
    <s v="RES040"/>
    <x v="40"/>
    <x v="3"/>
    <s v="PIECE"/>
    <n v="30"/>
    <n v="180"/>
    <n v="0"/>
    <n v="0"/>
    <n v="180"/>
    <n v="1500"/>
    <n v="270000"/>
    <s v="Stock normal"/>
  </r>
  <r>
    <s v="RES041"/>
    <x v="41"/>
    <x v="4"/>
    <s v="PIECE"/>
    <n v="5"/>
    <n v="25"/>
    <n v="0"/>
    <n v="0"/>
    <n v="25"/>
    <n v="30000"/>
    <n v="750000"/>
    <s v="Stock normal"/>
  </r>
  <r>
    <s v="RES042"/>
    <x v="42"/>
    <x v="4"/>
    <s v="PIECE"/>
    <n v="5"/>
    <n v="20"/>
    <n v="0"/>
    <n v="0"/>
    <n v="20"/>
    <n v="50000"/>
    <n v="1000000"/>
    <s v="Stock normal"/>
  </r>
  <r>
    <s v="ELE043"/>
    <x v="43"/>
    <x v="5"/>
    <s v="PIECE"/>
    <n v="10"/>
    <n v="40"/>
    <n v="0"/>
    <n v="0"/>
    <n v="40"/>
    <n v="25000"/>
    <n v="1000000"/>
    <s v="Stock normal"/>
  </r>
  <r>
    <s v="ELE044"/>
    <x v="44"/>
    <x v="5"/>
    <s v="PIECE"/>
    <n v="3"/>
    <n v="10"/>
    <n v="0"/>
    <n v="10"/>
    <n v="0"/>
    <n v="300000"/>
    <n v="0"/>
    <s v="En rupture"/>
  </r>
  <r>
    <s v="ELE045"/>
    <x v="45"/>
    <x v="4"/>
    <s v="PIECE"/>
    <n v="5"/>
    <n v="20"/>
    <n v="4"/>
    <n v="0"/>
    <n v="24"/>
    <n v="120000"/>
    <n v="2880000"/>
    <s v="Stock normal"/>
  </r>
  <r>
    <s v="ELE046"/>
    <x v="46"/>
    <x v="4"/>
    <s v="PIECE"/>
    <n v="5"/>
    <n v="15"/>
    <n v="10"/>
    <n v="0"/>
    <n v="25"/>
    <n v="180000"/>
    <n v="4500000"/>
    <s v="Stock normal"/>
  </r>
  <r>
    <s v="ELE047"/>
    <x v="47"/>
    <x v="4"/>
    <s v="PIECE"/>
    <n v="3"/>
    <n v="10"/>
    <n v="0"/>
    <n v="0"/>
    <n v="10"/>
    <n v="300000"/>
    <n v="3000000"/>
    <s v="Stock normal"/>
  </r>
  <r>
    <s v="ELE048"/>
    <x v="48"/>
    <x v="5"/>
    <s v="PIECE"/>
    <n v="3"/>
    <n v="8"/>
    <n v="0"/>
    <n v="0"/>
    <n v="8"/>
    <n v="250000"/>
    <n v="2000000"/>
    <s v="Stock normal"/>
  </r>
  <r>
    <s v="ELE049"/>
    <x v="49"/>
    <x v="5"/>
    <s v="PIECE"/>
    <n v="3"/>
    <n v="6"/>
    <n v="0"/>
    <n v="0"/>
    <n v="6"/>
    <n v="400000"/>
    <n v="2400000"/>
    <s v="Stock normal"/>
  </r>
  <r>
    <s v="ELE050"/>
    <x v="50"/>
    <x v="5"/>
    <s v="PIECE"/>
    <n v="5"/>
    <n v="20"/>
    <n v="0"/>
    <n v="0"/>
    <n v="20"/>
    <n v="80000"/>
    <n v="1600000"/>
    <s v="Stock normal"/>
  </r>
  <r>
    <s v="ALI051"/>
    <x v="51"/>
    <x v="6"/>
    <s v="SAC"/>
    <n v="10"/>
    <n v="100"/>
    <n v="0"/>
    <n v="0"/>
    <n v="100"/>
    <n v="15000"/>
    <n v="1500000"/>
    <s v="Stock normal"/>
  </r>
  <r>
    <s v="ALI052"/>
    <x v="52"/>
    <x v="6"/>
    <s v="PIECE"/>
    <n v="30"/>
    <n v="200"/>
    <n v="0"/>
    <n v="0"/>
    <n v="200"/>
    <n v="800"/>
    <n v="160000"/>
    <s v="Stock normal"/>
  </r>
  <r>
    <s v="ALI053"/>
    <x v="53"/>
    <x v="6"/>
    <s v="PIECE"/>
    <n v="20"/>
    <n v="150"/>
    <n v="0"/>
    <n v="0"/>
    <n v="150"/>
    <n v="1500"/>
    <n v="225000"/>
    <s v="Stock normal"/>
  </r>
  <r>
    <s v="ALI054"/>
    <x v="54"/>
    <x v="6"/>
    <s v="PIECE"/>
    <n v="20"/>
    <n v="120"/>
    <n v="0"/>
    <n v="30"/>
    <n v="90"/>
    <n v="2500"/>
    <n v="225000"/>
    <s v="Stock normal"/>
  </r>
  <r>
    <s v="ALI055"/>
    <x v="55"/>
    <x v="6"/>
    <s v="PIECE"/>
    <n v="30"/>
    <n v="180"/>
    <n v="0"/>
    <n v="0"/>
    <n v="180"/>
    <n v="700"/>
    <n v="126000"/>
    <s v="Stock normal"/>
  </r>
  <r>
    <s v="ALI056"/>
    <x v="56"/>
    <x v="6"/>
    <s v="PAQUET"/>
    <n v="30"/>
    <n v="300"/>
    <n v="0"/>
    <n v="0"/>
    <n v="300"/>
    <n v="2500"/>
    <n v="750000"/>
    <s v="Stock normal"/>
  </r>
  <r>
    <s v="ALI057"/>
    <x v="57"/>
    <x v="6"/>
    <s v="PIECE"/>
    <n v="20"/>
    <n v="150"/>
    <n v="0"/>
    <n v="0"/>
    <n v="150"/>
    <n v="1000"/>
    <n v="150000"/>
    <s v="Stock normal"/>
  </r>
  <r>
    <s v="ALI058"/>
    <x v="58"/>
    <x v="6"/>
    <s v="PIECE"/>
    <n v="30"/>
    <n v="200"/>
    <n v="0"/>
    <n v="0"/>
    <n v="200"/>
    <n v="500"/>
    <n v="100000"/>
    <s v="Stock normal"/>
  </r>
  <r>
    <s v="ALI059"/>
    <x v="59"/>
    <x v="6"/>
    <s v="PIECE"/>
    <n v="20"/>
    <n v="100"/>
    <n v="0"/>
    <n v="0"/>
    <n v="100"/>
    <n v="2000"/>
    <n v="200000"/>
    <s v="Stock normal"/>
  </r>
  <r>
    <s v="ALI060"/>
    <x v="60"/>
    <x v="6"/>
    <s v="PIECE"/>
    <n v="20"/>
    <n v="90"/>
    <n v="0"/>
    <n v="0"/>
    <n v="90"/>
    <n v="1500"/>
    <n v="135000"/>
    <s v="Stock normal"/>
  </r>
  <r>
    <s v="ENT061"/>
    <x v="61"/>
    <x v="7"/>
    <s v="PIECE"/>
    <n v="30"/>
    <n v="200"/>
    <n v="0"/>
    <n v="0"/>
    <n v="200"/>
    <n v="500"/>
    <n v="100000"/>
    <s v="Stock normal"/>
  </r>
  <r>
    <s v="ENT062"/>
    <x v="62"/>
    <x v="7"/>
    <s v="PIECE"/>
    <n v="20"/>
    <n v="150"/>
    <n v="0"/>
    <n v="0"/>
    <n v="150"/>
    <n v="1000"/>
    <n v="150000"/>
    <s v="Stock normal"/>
  </r>
  <r>
    <s v="ENT063"/>
    <x v="63"/>
    <x v="7"/>
    <s v="PIECE"/>
    <n v="20"/>
    <n v="140"/>
    <n v="0"/>
    <n v="0"/>
    <n v="140"/>
    <n v="1500"/>
    <n v="210000"/>
    <s v="Stock normal"/>
  </r>
  <r>
    <s v="ENT064"/>
    <x v="64"/>
    <x v="7"/>
    <s v="PIECE"/>
    <n v="10"/>
    <n v="50"/>
    <n v="0"/>
    <n v="0"/>
    <n v="50"/>
    <n v="3000"/>
    <n v="150000"/>
    <s v="Stock normal"/>
  </r>
  <r>
    <s v="ENT065"/>
    <x v="65"/>
    <x v="7"/>
    <s v="PIECE"/>
    <n v="10"/>
    <n v="60"/>
    <n v="0"/>
    <n v="0"/>
    <n v="60"/>
    <n v="2500"/>
    <n v="150000"/>
    <s v="Stock normal"/>
  </r>
  <r>
    <s v="ENT066"/>
    <x v="66"/>
    <x v="7"/>
    <s v="PIECE"/>
    <n v="10"/>
    <n v="40"/>
    <n v="0"/>
    <n v="0"/>
    <n v="40"/>
    <n v="2000"/>
    <n v="80000"/>
    <s v="Stock normal"/>
  </r>
  <r>
    <s v="ENT067"/>
    <x v="67"/>
    <x v="7"/>
    <s v="PIECE"/>
    <n v="30"/>
    <n v="180"/>
    <n v="0"/>
    <n v="0"/>
    <n v="180"/>
    <n v="300"/>
    <n v="54000"/>
    <s v="Stock normal"/>
  </r>
  <r>
    <s v="ENT068"/>
    <x v="68"/>
    <x v="7"/>
    <s v="PAQUET"/>
    <n v="30"/>
    <n v="200"/>
    <n v="0"/>
    <n v="0"/>
    <n v="200"/>
    <n v="2500"/>
    <n v="500000"/>
    <s v="Stock normal"/>
  </r>
  <r>
    <s v="ENT069"/>
    <x v="69"/>
    <x v="7"/>
    <s v="PAQUET"/>
    <n v="30"/>
    <n v="180"/>
    <n v="0"/>
    <n v="0"/>
    <n v="180"/>
    <n v="1000"/>
    <n v="180000"/>
    <s v="Stock normal"/>
  </r>
  <r>
    <s v="ENT070"/>
    <x v="70"/>
    <x v="7"/>
    <s v="PIECE"/>
    <n v="20"/>
    <n v="120"/>
    <n v="0"/>
    <n v="0"/>
    <n v="120"/>
    <n v="2000"/>
    <n v="240000"/>
    <s v="Stock normal"/>
  </r>
  <r>
    <s v="BUR071"/>
    <x v="71"/>
    <x v="8"/>
    <s v="PIECE"/>
    <n v="50"/>
    <n v="500"/>
    <n v="0"/>
    <n v="0"/>
    <n v="500"/>
    <n v="100"/>
    <n v="50000"/>
    <s v="Stock normal"/>
  </r>
  <r>
    <s v="BUR072"/>
    <x v="72"/>
    <x v="8"/>
    <s v="PIECE"/>
    <n v="40"/>
    <n v="400"/>
    <n v="0"/>
    <n v="0"/>
    <n v="400"/>
    <n v="500"/>
    <n v="200000"/>
    <s v="Stock normal"/>
  </r>
  <r>
    <s v="BUR073"/>
    <x v="73"/>
    <x v="8"/>
    <s v="PIECE"/>
    <n v="20"/>
    <n v="200"/>
    <n v="0"/>
    <n v="0"/>
    <n v="200"/>
    <n v="1500"/>
    <n v="300000"/>
    <s v="Stock normal"/>
  </r>
  <r>
    <s v="BUR074"/>
    <x v="74"/>
    <x v="8"/>
    <s v="RAME"/>
    <n v="20"/>
    <n v="150"/>
    <n v="0"/>
    <n v="0"/>
    <n v="150"/>
    <n v="3000"/>
    <n v="450000"/>
    <s v="Stock normal"/>
  </r>
  <r>
    <s v="BUR075"/>
    <x v="75"/>
    <x v="8"/>
    <s v="PIECE"/>
    <n v="10"/>
    <n v="50"/>
    <n v="0"/>
    <n v="0"/>
    <n v="50"/>
    <n v="2500"/>
    <n v="125000"/>
    <s v="Stock normal"/>
  </r>
  <r>
    <s v="BUR076"/>
    <x v="76"/>
    <x v="8"/>
    <s v="PIECE"/>
    <n v="10"/>
    <n v="40"/>
    <n v="0"/>
    <n v="0"/>
    <n v="40"/>
    <n v="5000"/>
    <n v="200000"/>
    <s v="Stock normal"/>
  </r>
  <r>
    <s v="BUR077"/>
    <x v="77"/>
    <x v="8"/>
    <s v="PIECE"/>
    <n v="20"/>
    <n v="150"/>
    <n v="0"/>
    <n v="0"/>
    <n v="150"/>
    <n v="300"/>
    <n v="45000"/>
    <s v="Stock normal"/>
  </r>
  <r>
    <s v="BUR078"/>
    <x v="78"/>
    <x v="8"/>
    <s v="PIECE"/>
    <n v="50"/>
    <n v="400"/>
    <n v="0"/>
    <n v="0"/>
    <n v="400"/>
    <n v="100"/>
    <n v="40000"/>
    <s v="Stock normal"/>
  </r>
  <r>
    <s v="BUR079"/>
    <x v="79"/>
    <x v="8"/>
    <s v="PIECE"/>
    <n v="50"/>
    <n v="300"/>
    <n v="0"/>
    <n v="0"/>
    <n v="300"/>
    <n v="50"/>
    <n v="15000"/>
    <s v="Stock normal"/>
  </r>
  <r>
    <s v="BUR080"/>
    <x v="80"/>
    <x v="8"/>
    <s v="PIECE"/>
    <n v="30"/>
    <n v="200"/>
    <n v="0"/>
    <n v="0"/>
    <n v="200"/>
    <n v="200"/>
    <n v="40000"/>
    <s v="Stock normal"/>
  </r>
  <r>
    <s v="BTP081"/>
    <x v="81"/>
    <x v="9"/>
    <s v="SAC"/>
    <n v="20"/>
    <n v="200"/>
    <n v="0"/>
    <n v="0"/>
    <n v="200"/>
    <n v="6000"/>
    <n v="1200000"/>
    <s v="Stock normal"/>
  </r>
  <r>
    <s v="BTP082"/>
    <x v="82"/>
    <x v="9"/>
    <s v="TONNE"/>
    <n v="10"/>
    <n v="100"/>
    <n v="0"/>
    <n v="0"/>
    <n v="100"/>
    <n v="15000"/>
    <n v="1500000"/>
    <s v="Stock normal"/>
  </r>
  <r>
    <s v="BTP083"/>
    <x v="83"/>
    <x v="9"/>
    <s v="TONNE"/>
    <n v="10"/>
    <n v="90"/>
    <n v="0"/>
    <n v="0"/>
    <n v="90"/>
    <n v="18000"/>
    <n v="1620000"/>
    <s v="Stock normal"/>
  </r>
  <r>
    <s v="BTP084"/>
    <x v="84"/>
    <x v="9"/>
    <s v="PIECE"/>
    <n v="20"/>
    <n v="150"/>
    <n v="0"/>
    <n v="0"/>
    <n v="150"/>
    <n v="5000"/>
    <n v="750000"/>
    <s v="Stock normal"/>
  </r>
  <r>
    <s v="BTP085"/>
    <x v="85"/>
    <x v="9"/>
    <s v="BIDON"/>
    <n v="10"/>
    <n v="80"/>
    <n v="0"/>
    <n v="0"/>
    <n v="80"/>
    <n v="20000"/>
    <n v="1600000"/>
    <s v="Stock normal"/>
  </r>
  <r>
    <s v="BTP086"/>
    <x v="86"/>
    <x v="9"/>
    <s v="PIECE"/>
    <n v="20"/>
    <n v="100"/>
    <n v="0"/>
    <n v="0"/>
    <n v="100"/>
    <n v="1500"/>
    <n v="150000"/>
    <s v="Stock normal"/>
  </r>
  <r>
    <s v="BTP087"/>
    <x v="87"/>
    <x v="9"/>
    <s v="PIECE"/>
    <n v="10"/>
    <n v="50"/>
    <n v="0"/>
    <n v="0"/>
    <n v="50"/>
    <n v="3000"/>
    <n v="150000"/>
    <s v="Stock normal"/>
  </r>
  <r>
    <s v="BTP088"/>
    <x v="88"/>
    <x v="9"/>
    <s v="PIECE"/>
    <n v="10"/>
    <n v="40"/>
    <n v="0"/>
    <n v="0"/>
    <n v="40"/>
    <n v="4000"/>
    <n v="160000"/>
    <s v="Stock normal"/>
  </r>
  <r>
    <s v="BTP089"/>
    <x v="89"/>
    <x v="9"/>
    <s v="KG"/>
    <n v="30"/>
    <n v="200"/>
    <n v="0"/>
    <n v="0"/>
    <n v="200"/>
    <n v="1000"/>
    <n v="200000"/>
    <s v="Stock normal"/>
  </r>
  <r>
    <s v="BTP090"/>
    <x v="90"/>
    <x v="9"/>
    <s v="PIECE"/>
    <n v="20"/>
    <n v="150"/>
    <n v="0"/>
    <n v="0"/>
    <n v="150"/>
    <n v="2500"/>
    <n v="375000"/>
    <s v="Stock normal"/>
  </r>
  <r>
    <s v="AUT091"/>
    <x v="91"/>
    <x v="4"/>
    <s v="PIECE"/>
    <n v="30"/>
    <n v="200"/>
    <n v="0"/>
    <n v="0"/>
    <n v="200"/>
    <n v="2000"/>
    <n v="400000"/>
    <s v="Stock normal"/>
  </r>
  <r>
    <s v="AUT092"/>
    <x v="92"/>
    <x v="4"/>
    <s v="PIECE"/>
    <n v="10"/>
    <n v="60"/>
    <n v="0"/>
    <n v="6"/>
    <n v="54"/>
    <n v="150000"/>
    <n v="8100000"/>
    <s v="Stock normal"/>
  </r>
  <r>
    <s v="AUT093"/>
    <x v="93"/>
    <x v="10"/>
    <s v="PIECE"/>
    <n v="10"/>
    <n v="40"/>
    <n v="0"/>
    <n v="0"/>
    <n v="40"/>
    <n v="500000"/>
    <n v="20000000"/>
    <s v="Stock normal"/>
  </r>
  <r>
    <s v="AUT094"/>
    <x v="94"/>
    <x v="10"/>
    <s v="BIDON"/>
    <n v="10"/>
    <n v="50"/>
    <n v="0"/>
    <n v="0"/>
    <n v="50"/>
    <n v="10000"/>
    <n v="500000"/>
    <s v="Stock normal"/>
  </r>
  <r>
    <s v="AUT095"/>
    <x v="95"/>
    <x v="10"/>
    <s v="PIECE"/>
    <n v="10"/>
    <n v="60"/>
    <n v="0"/>
    <n v="0"/>
    <n v="60"/>
    <n v="35000"/>
    <n v="2100000"/>
    <s v="Stock normal"/>
  </r>
  <r>
    <s v="AUT096"/>
    <x v="96"/>
    <x v="10"/>
    <s v="PIECE"/>
    <n v="20"/>
    <n v="100"/>
    <n v="0"/>
    <n v="0"/>
    <n v="100"/>
    <n v="5000"/>
    <n v="500000"/>
    <s v="Stock normal"/>
  </r>
  <r>
    <s v="AUT097"/>
    <x v="97"/>
    <x v="10"/>
    <s v="PIECE"/>
    <n v="20"/>
    <n v="90"/>
    <n v="0"/>
    <n v="0"/>
    <n v="90"/>
    <n v="4000"/>
    <n v="360000"/>
    <s v="Stock normal"/>
  </r>
  <r>
    <s v="AUT098"/>
    <x v="98"/>
    <x v="10"/>
    <s v="PIECE"/>
    <n v="30"/>
    <n v="120"/>
    <n v="0"/>
    <n v="0"/>
    <n v="120"/>
    <n v="2000"/>
    <n v="240000"/>
    <s v="Stock normal"/>
  </r>
  <r>
    <s v="AUT099"/>
    <x v="99"/>
    <x v="10"/>
    <s v="PIECE"/>
    <n v="5"/>
    <n v="20"/>
    <n v="0"/>
    <n v="2"/>
    <n v="18"/>
    <n v="80000"/>
    <n v="1440000"/>
    <s v="Stock normal"/>
  </r>
  <r>
    <s v="AUT100"/>
    <x v="100"/>
    <x v="10"/>
    <s v="PIECE"/>
    <n v="5"/>
    <n v="15"/>
    <n v="0"/>
    <n v="0"/>
    <n v="15"/>
    <n v="90000"/>
    <n v="1350000"/>
    <s v="Stock norma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F9882-2558-43C7-8813-8403FE02885D}" name="Tableau croisé dynamique7" cacheId="184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18">
  <location ref="A121:B125" firstHeaderRow="1" firstDataRow="1" firstDataCol="1"/>
  <pivotFields count="2">
    <pivotField dataField="1" subtotalTop="0" showAll="0" defaultSubtotal="0"/>
    <pivotField axis="axisRow" allDrilled="1" subtotalTop="0" showAll="0" measureFilter="1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4">
    <i>
      <x v="1"/>
    </i>
    <i>
      <x/>
    </i>
    <i>
      <x v="2"/>
    </i>
    <i t="grand">
      <x/>
    </i>
  </rowItems>
  <colItems count="1">
    <i/>
  </colItems>
  <dataFields count="1">
    <dataField name="Somme de Total" fld="0" baseField="0" baseItem="0" numFmtId="42"/>
  </dataFields>
  <formats count="2">
    <format dxfId="107">
      <pivotArea grandRow="1" outline="0" collapsedLevelsAreSubtotals="1" fieldPosition="0"/>
    </format>
    <format dxfId="106">
      <pivotArea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ount" id="1" iMeasureHier="30">
      <autoFilter ref="A1">
        <filterColumn colId="0">
          <top10 val="3" filterVal="3"/>
        </filterColumn>
      </autoFilter>
    </filter>
  </filters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789414-40F8-45CE-95F1-80C7F05E2343}" name="Stock_I_Q" cacheId="12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7">
  <location ref="A10:B22" firstHeaderRow="1" firstDataRow="1" firstDataCol="1"/>
  <pivotFields count="12">
    <pivotField showAll="0"/>
    <pivotField showAll="0"/>
    <pivotField axis="axisRow" showAll="0">
      <items count="12">
        <item x="1"/>
        <item x="6"/>
        <item x="10"/>
        <item x="9"/>
        <item x="5"/>
        <item x="4"/>
        <item x="7"/>
        <item x="8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omme de Stock final" fld="8" baseField="0" baseItem="0"/>
  </dataFields>
  <formats count="6">
    <format dxfId="113">
      <pivotArea field="2" type="button" dataOnly="0" labelOnly="1" outline="0" axis="axisRow" fieldPosition="0"/>
    </format>
    <format dxfId="112">
      <pivotArea dataOnly="0" labelOnly="1" fieldPosition="0">
        <references count="1">
          <reference field="2" count="0"/>
        </references>
      </pivotArea>
    </format>
    <format dxfId="111">
      <pivotArea collapsedLevelsAreSubtotals="1" fieldPosition="0">
        <references count="1">
          <reference field="2" count="0"/>
        </references>
      </pivotArea>
    </format>
    <format dxfId="110">
      <pivotArea dataOnly="0" labelOnly="1" outline="0" axis="axisValues" fieldPosition="0"/>
    </format>
    <format dxfId="109">
      <pivotArea grandRow="1" outline="0" collapsedLevelsAreSubtotals="1" fieldPosition="0"/>
    </format>
    <format dxfId="108">
      <pivotArea dataOnly="0" labelOnly="1" grandRow="1" outline="0" fieldPosition="0"/>
    </format>
  </formats>
  <chartFormats count="8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4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5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9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9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9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9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9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9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4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4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4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4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4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4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4" format="2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4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4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5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5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5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5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5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5" format="34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5" format="35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6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6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6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6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6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6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6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6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6" format="34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6" format="35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F1FEA0-A7A1-4E92-814B-1F4AC3C3A8AA}" name="Sotck_E_Q" cacheId="168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6">
  <location ref="A43:B49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0" baseField="0" baseItem="0"/>
  </dataFields>
  <formats count="9">
    <format dxfId="122">
      <pivotArea collapsedLevelsAreSubtotals="1" fieldPosition="0">
        <references count="1">
          <reference field="1" count="0"/>
        </references>
      </pivotArea>
    </format>
    <format dxfId="121">
      <pivotArea field="1" type="button" dataOnly="0" labelOnly="1" outline="0" axis="axisRow" fieldPosition="0"/>
    </format>
    <format dxfId="120">
      <pivotArea dataOnly="0" labelOnly="1" fieldPosition="0">
        <references count="1">
          <reference field="1" count="0"/>
        </references>
      </pivotArea>
    </format>
    <format dxfId="119">
      <pivotArea dataOnly="0" labelOnly="1" outline="0" axis="axisValues" fieldPosition="0"/>
    </format>
    <format dxfId="118">
      <pivotArea collapsedLevelsAreSubtotals="1" fieldPosition="0">
        <references count="1">
          <reference field="1" count="0"/>
        </references>
      </pivotArea>
    </format>
    <format dxfId="117">
      <pivotArea grandRow="1" outline="0" collapsedLevelsAreSubtotals="1" fieldPosition="0"/>
    </format>
    <format dxfId="116">
      <pivotArea dataOnly="0" labelOnly="1" grandRow="1" outline="0" fieldPosition="0"/>
    </format>
    <format dxfId="115">
      <pivotArea grandRow="1" outline="0" collapsedLevelsAreSubtotals="1" fieldPosition="0"/>
    </format>
    <format dxfId="114">
      <pivotArea dataOnly="0" labelOnly="1" grandRow="1" outline="0" fieldPosition="0"/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3AD1C1-955A-4FFA-9745-73A13624DED7}" name="Tableau croisé dynamique6" cacheId="19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>
  <location ref="A107:C113" firstHeaderRow="0" firstDataRow="1" firstDataCol="1"/>
  <pivotFields count="4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3" baseField="0" baseItem="0">
      <extLst>
        <ext xmlns:x14="http://schemas.microsoft.com/office/spreadsheetml/2009/9/main" uri="{E15A36E0-9728-4e99-A89B-3F7291B0FE68}">
          <x14:dataField sourceField="2" uniqueName="[__Xl2].[Measures].[Somme de Total 2]"/>
        </ext>
      </extLst>
    </dataField>
  </dataFields>
  <formats count="1">
    <format dxfId="12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A633F-ADF1-46FD-9CF8-41DDE94D4FEA}" name="Stock_I_V" cacheId="12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5">
  <location ref="A27:B39" firstHeaderRow="1" firstDataRow="1" firstDataCol="1"/>
  <pivotFields count="12">
    <pivotField showAll="0"/>
    <pivotField showAll="0"/>
    <pivotField axis="axisRow" showAll="0">
      <items count="12">
        <item x="1"/>
        <item x="6"/>
        <item x="10"/>
        <item x="9"/>
        <item x="5"/>
        <item x="4"/>
        <item x="7"/>
        <item x="8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164" showAll="0"/>
    <pivotField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omme de Valeur" fld="10" baseField="0" baseItem="0" numFmtId="42"/>
  </dataFields>
  <formats count="9">
    <format dxfId="132">
      <pivotArea dataOnly="0" labelOnly="1" outline="0" axis="axisValues" fieldPosition="0"/>
    </format>
    <format dxfId="131">
      <pivotArea collapsedLevelsAreSubtotals="1" fieldPosition="0">
        <references count="1">
          <reference field="2" count="0"/>
        </references>
      </pivotArea>
    </format>
    <format dxfId="130">
      <pivotArea field="2" type="button" dataOnly="0" labelOnly="1" outline="0" axis="axisRow" fieldPosition="0"/>
    </format>
    <format dxfId="129">
      <pivotArea dataOnly="0" labelOnly="1" fieldPosition="0">
        <references count="1">
          <reference field="2" count="0"/>
        </references>
      </pivotArea>
    </format>
    <format dxfId="128">
      <pivotArea dataOnly="0" labelOnly="1" outline="0" axis="axisValues" fieldPosition="0"/>
    </format>
    <format dxfId="127">
      <pivotArea outline="0" collapsedLevelsAreSubtotals="1" fieldPosition="0"/>
    </format>
    <format dxfId="126">
      <pivotArea dataOnly="0" labelOnly="1" outline="0" axis="axisValues" fieldPosition="0"/>
    </format>
    <format dxfId="125">
      <pivotArea grandRow="1" outline="0" collapsedLevelsAreSubtotals="1" fieldPosition="0"/>
    </format>
    <format dxfId="124">
      <pivotArea dataOnly="0" labelOnly="1" grandRow="1" outline="0" fieldPosition="0"/>
    </format>
  </formats>
  <chartFormats count="5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FFBDC-6FC5-4F0B-8F1C-7466360541E0}" name="Tableau croisé dynamique3" cacheId="18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7:B8" firstHeaderRow="0" firstDataRow="1" firstDataCol="0"/>
  <pivotFields count="2"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/>
  </dataFields>
  <formats count="3">
    <format dxfId="135">
      <pivotArea type="all" dataOnly="0" outline="0" fieldPosition="0"/>
    </format>
    <format dxfId="134">
      <pivotArea outline="0" collapsedLevelsAreSubtotals="1" fieldPosition="0"/>
    </format>
    <format dxfId="1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EF993-1A28-41CE-B7D6-1945C50A08B5}" name="Tableau croisé dynamique2" cacheId="172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A4:B5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Quantité" fld="0" baseField="0" baseItem="0"/>
    <dataField name="Somme de Total" fld="1" baseField="0" baseItem="0"/>
  </dataFields>
  <formats count="3"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ableauC].[Catégorie].&amp;[SMARTPHONE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  <x15:activeTabTopLevelEntity name="[TableauC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422393-856B-4134-87E7-6ACA37588AC1}" name="Stock_E_V" cacheId="1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54:B60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Total" fld="0" baseField="0" baseItem="0" numFmtId="42"/>
  </dataFields>
  <formats count="9">
    <format dxfId="147">
      <pivotArea outline="0" collapsedLevelsAreSubtotals="1" fieldPosition="0"/>
    </format>
    <format dxfId="146">
      <pivotArea dataOnly="0" labelOnly="1" outline="0" axis="axisValues" fieldPosition="0"/>
    </format>
    <format dxfId="145">
      <pivotArea type="all" dataOnly="0" outline="0" fieldPosition="0"/>
    </format>
    <format dxfId="144">
      <pivotArea outline="0" collapsedLevelsAreSubtotals="1" fieldPosition="0"/>
    </format>
    <format dxfId="143">
      <pivotArea field="1" type="button" dataOnly="0" labelOnly="1" outline="0" axis="axisRow" fieldPosition="0"/>
    </format>
    <format dxfId="142">
      <pivotArea dataOnly="0" labelOnly="1" fieldPosition="0">
        <references count="1">
          <reference field="1" count="0"/>
        </references>
      </pivotArea>
    </format>
    <format dxfId="141">
      <pivotArea dataOnly="0" labelOnly="1" grandRow="1" outline="0" fieldPosition="0"/>
    </format>
    <format dxfId="140">
      <pivotArea dataOnly="0" labelOnly="1" outline="0" axis="axisValues" fieldPosition="0"/>
    </format>
    <format dxfId="139">
      <pivotArea outline="0" collapsedLevelsAreSubtotals="1" fieldPosition="0"/>
    </format>
  </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FAE345-8088-42BC-97BA-8A0ADA3AFD7C}" name="Tableau croisé dynamique4" cacheId="178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13">
  <location ref="A97:C104" firstHeaderRow="0" firstDataRow="1" firstDataCol="1"/>
  <pivotFields count="4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>
      <items count="6">
        <item x="0" e="0"/>
        <item x="1" e="0"/>
        <item x="2" e="0"/>
        <item x="3" e="0"/>
        <item x="4" e="0"/>
        <item x="5" e="0"/>
      </items>
    </pivotField>
    <pivotField dataField="1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3" baseField="0" baseItem="0">
      <extLst>
        <ext xmlns:x14="http://schemas.microsoft.com/office/spreadsheetml/2009/9/main" uri="{E15A36E0-9728-4e99-A89B-3F7291B0FE68}">
          <x14:dataField sourceField="2" uniqueName="[__Xl2].[Measures].[Somme de Total]"/>
        </ext>
      </extLst>
    </dataField>
  </dataFields>
  <formats count="7">
    <format dxfId="154">
      <pivotArea collapsedLevelsAreSubtotals="1" fieldPosition="0">
        <references count="1">
          <reference field="1" count="1">
            <x v="0"/>
          </reference>
        </references>
      </pivotArea>
    </format>
    <format dxfId="153">
      <pivotArea collapsedLevelsAreSubtotals="1" fieldPosition="0">
        <references count="1">
          <reference field="1" count="1">
            <x v="1"/>
          </reference>
        </references>
      </pivotArea>
    </format>
    <format dxfId="152">
      <pivotArea collapsedLevelsAreSubtotals="1" fieldPosition="0">
        <references count="1">
          <reference field="1" count="1">
            <x v="2"/>
          </reference>
        </references>
      </pivotArea>
    </format>
    <format dxfId="151">
      <pivotArea collapsedLevelsAreSubtotals="1" fieldPosition="0">
        <references count="1">
          <reference field="1" count="1">
            <x v="3"/>
          </reference>
        </references>
      </pivotArea>
    </format>
    <format dxfId="150">
      <pivotArea collapsedLevelsAreSubtotals="1" fieldPosition="0">
        <references count="1">
          <reference field="1" count="1">
            <x v="4"/>
          </reference>
        </references>
      </pivotArea>
    </format>
    <format dxfId="149">
      <pivotArea collapsedLevelsAreSubtotals="1" fieldPosition="0">
        <references count="1">
          <reference field="1" count="1">
            <x v="5"/>
          </reference>
        </references>
      </pivotArea>
    </format>
    <format dxfId="148">
      <pivotArea grandRow="1"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6AE4FE-A0E8-4C1E-AF9F-C017882C7533}" name="Stock_S_Q" cacheId="36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5">
  <location ref="A65:B69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Quantité" fld="0" baseField="0" baseItem="0" numFmtId="1"/>
  </dataFields>
  <formats count="7">
    <format dxfId="9">
      <pivotArea collapsedLevelsAreSubtotals="1" fieldPosition="0">
        <references count="1">
          <reference field="1" count="0"/>
        </references>
      </pivotArea>
    </format>
    <format dxfId="10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0"/>
        </references>
      </pivotArea>
    </format>
    <format dxfId="12">
      <pivotArea dataOnly="0" labelOnly="1" outline="0" axis="axisValues" fieldPosition="0"/>
    </format>
    <format dxfId="13">
      <pivotArea grandRow="1" outline="0" collapsedLevelsAreSubtotals="1" fieldPosition="0"/>
    </format>
    <format dxfId="14">
      <pivotArea dataOnly="0" labelOnly="1" grandRow="1" outline="0" fieldPosition="0"/>
    </format>
    <format dxfId="15">
      <pivotArea outline="0" collapsedLevelsAreSubtotals="1" fieldPosition="0"/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93E9C-57B0-42F5-8CB2-ADC18F122942}" name="Tableau croisé dynamique5" cacheId="19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88:B94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</pivotFields>
  <rowFields count="2">
    <field x="2"/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0" baseField="0" baseItem="0"/>
  </dataField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84A2D6-CD3D-4144-829C-D504BE547917}" name="Tableau croisé dynamique1" cacheId="18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78:B85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>
      <items count="6">
        <item x="0" e="0"/>
        <item x="1" e="0"/>
        <item x="2" e="0"/>
        <item x="3" e="0"/>
        <item x="4" e="0"/>
        <item x="5" e="0"/>
      </items>
    </pivotField>
  </pivotFields>
  <rowFields count="2">
    <field x="2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me de Quantité" fld="0" baseField="0" baseItem="0"/>
  </dataField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E">
        <x15:activeTabTopLevelEntity name="[Liste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62A669-B358-436C-8876-BCC3034EC1C2}" name="TCD_I" cacheId="2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:B2" firstHeaderRow="0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Stock final" fld="8" baseField="0" baseItem="0"/>
    <dataField name="Somme de Valeur" fld="10" baseField="0" baseItem="0" numFmtId="42"/>
  </dataFields>
  <formats count="5">
    <format dxfId="15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5A32A-D799-43B6-8AE1-B3C275AA4532}" name="Stock_S_V" cacheId="33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>
  <location ref="A72:B76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Total" fld="0" baseField="0" baseItem="0" numFmtId="42"/>
  </dataFields>
  <formats count="9">
    <format dxfId="0">
      <pivotArea outline="0" collapsedLevelsAreSubtotals="1" fieldPosition="0"/>
    </format>
    <format dxfId="1">
      <pivotArea dataOnly="0" labelOnly="1" outline="0" axis="axisValues" fieldPosition="0"/>
    </format>
    <format dxfId="2">
      <pivotArea type="all" dataOnly="0" outline="0" fieldPosition="0"/>
    </format>
    <format dxfId="3">
      <pivotArea outline="0" collapsedLevelsAreSubtotals="1" fieldPosition="0"/>
    </format>
    <format dxfId="4">
      <pivotArea field="1" type="button" dataOnly="0" labelOnly="1" outline="0" axis="axisRow" fieldPosition="0"/>
    </format>
    <format dxfId="5">
      <pivotArea dataOnly="0" labelOnly="1" fieldPosition="0">
        <references count="1">
          <reference field="1" count="0"/>
        </references>
      </pivotArea>
    </format>
    <format dxfId="6">
      <pivotArea dataOnly="0" labelOnly="1" grandRow="1" outline="0" fieldPosition="0"/>
    </format>
    <format dxfId="7">
      <pivotArea dataOnly="0" labelOnly="1" outline="0" axis="axisValues" fieldPosition="0"/>
    </format>
    <format dxfId="8">
      <pivotArea outline="0" collapsedLevelsAreSubtotals="1" fieldPosition="0"/>
    </format>
  </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  - Excel Avancé.xlsm!ListeS">
        <x15:activeTabTopLevelEntity name="[Lis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45EE8F-ED3F-4645-AE25-C2C29BD6FE8C}" name="Tableau croisé dynamique8" cacheId="12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31:B138" firstHeaderRow="1" firstDataRow="1" firstDataCol="1"/>
  <pivotFields count="12">
    <pivotField showAll="0"/>
    <pivotField axis="axisRow" showAll="0" measureFilter="1">
      <items count="102">
        <item x="75"/>
        <item x="100"/>
        <item x="64"/>
        <item x="93"/>
        <item x="58"/>
        <item x="98"/>
        <item x="14"/>
        <item x="39"/>
        <item x="13"/>
        <item x="59"/>
        <item x="72"/>
        <item x="76"/>
        <item x="33"/>
        <item x="34"/>
        <item x="16"/>
        <item x="12"/>
        <item x="11"/>
        <item x="81"/>
        <item x="73"/>
        <item x="21"/>
        <item x="29"/>
        <item x="30"/>
        <item x="44"/>
        <item x="89"/>
        <item x="19"/>
        <item x="20"/>
        <item x="78"/>
        <item x="70"/>
        <item x="63"/>
        <item x="31"/>
        <item x="32"/>
        <item x="62"/>
        <item x="56"/>
        <item x="15"/>
        <item x="23"/>
        <item x="24"/>
        <item x="67"/>
        <item x="84"/>
        <item x="97"/>
        <item x="96"/>
        <item x="79"/>
        <item x="83"/>
        <item x="53"/>
        <item x="94"/>
        <item x="27"/>
        <item x="28"/>
        <item x="5"/>
        <item x="1"/>
        <item x="3"/>
        <item x="4"/>
        <item x="9"/>
        <item x="57"/>
        <item x="54"/>
        <item x="91"/>
        <item x="48"/>
        <item x="77"/>
        <item x="87"/>
        <item x="50"/>
        <item x="36"/>
        <item x="69"/>
        <item x="42"/>
        <item x="41"/>
        <item x="26"/>
        <item x="25"/>
        <item x="74"/>
        <item x="68"/>
        <item x="55"/>
        <item x="85"/>
        <item x="86"/>
        <item x="95"/>
        <item x="17"/>
        <item x="18"/>
        <item x="40"/>
        <item x="92"/>
        <item x="99"/>
        <item x="7"/>
        <item x="49"/>
        <item x="80"/>
        <item x="51"/>
        <item x="35"/>
        <item x="82"/>
        <item x="2"/>
        <item x="0"/>
        <item x="8"/>
        <item x="61"/>
        <item x="88"/>
        <item x="66"/>
        <item x="65"/>
        <item x="22"/>
        <item x="71"/>
        <item x="52"/>
        <item x="38"/>
        <item x="37"/>
        <item x="10"/>
        <item x="6"/>
        <item x="45"/>
        <item x="46"/>
        <item x="47"/>
        <item x="60"/>
        <item x="90"/>
        <item x="4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showAll="0"/>
  </pivotFields>
  <rowFields count="1">
    <field x="1"/>
  </rowFields>
  <rowItems count="7">
    <i>
      <x v="22"/>
    </i>
    <i>
      <x v="47"/>
    </i>
    <i>
      <x v="49"/>
    </i>
    <i>
      <x v="81"/>
    </i>
    <i>
      <x v="83"/>
    </i>
    <i>
      <x v="92"/>
    </i>
    <i t="grand">
      <x/>
    </i>
  </rowItems>
  <colItems count="1">
    <i/>
  </colItems>
  <dataFields count="1">
    <dataField name="Somme de Stock final" fld="8" baseField="0" baseItem="0"/>
  </dataFields>
  <pivotTableStyleInfo name="PivotStyleLight16" showRowHeaders="1" showColHeaders="1" showRowStripes="0" showColStripes="0" showLastColumn="1"/>
  <filters count="1">
    <filter fld="1" type="valueEqual" evalOrder="-1" id="1" iMeasureFld="0">
      <autoFilter ref="A1">
        <filterColumn colId="0">
          <customFilters>
            <customFilter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9428FC6B-990E-43A0-B986-F78456893F51}" sourceName="[TableauC].[Catégorie]">
  <pivotTables>
    <pivotTable tabId="6" name="Tableau croisé dynamique2"/>
  </pivotTables>
  <data>
    <olap pivotCacheId="2046493830">
      <levels count="2">
        <level uniqueName="[TableauC].[Catégorie].[(All)]" sourceCaption="(All)" count="0"/>
        <level uniqueName="[TableauC].[Catégorie].[Catégorie]" sourceCaption="Catégorie" count="11">
          <ranges>
            <range startItem="0">
              <i n="[TableauC].[Catégorie].&amp;[ACCESSOIRE]" c="ACCESSOIRE"/>
              <i n="[TableauC].[Catégorie].&amp;[ELECTRONIQUE]" c="ELECTRONIQUE"/>
              <i n="[TableauC].[Catégorie].&amp;[INFORMATIQUE]" c="INFORMATIQUE"/>
              <i n="[TableauC].[Catégorie].&amp;[RESEAU]" c="RESEAU"/>
              <i n="[TableauC].[Catégorie].&amp;[SMARTPHONE]" c="SMARTPHONE"/>
              <i n="[TableauC].[Catégorie].&amp;[ALIMENTAIRE]" c="ALIMENTAIRE" nd="1"/>
              <i n="[TableauC].[Catégorie].&amp;[AUTOMOBILE]" c="AUTOMOBILE" nd="1"/>
              <i n="[TableauC].[Catégorie].&amp;[CONSTRUCTION]" c="CONSTRUCTION" nd="1"/>
              <i n="[TableauC].[Catégorie].&amp;[ELECTROMENAGER]" c="ELECTROMENAGER" nd="1"/>
              <i n="[TableauC].[Catégorie].&amp;[ENTRETIEN]" c="ENTRETIEN" nd="1"/>
              <i n="[TableauC].[Catégorie].&amp;[FOURNITURE]" c="FOURNITURE" nd="1"/>
            </range>
          </ranges>
        </level>
      </levels>
      <selections count="1">
        <selection n="[TableauC].[Catégorie].&amp;[SMARTPHONE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FFD8C043-3348-4BDA-83C5-2669E7DF8DEC}" cache="Segment_Catégorie" caption="Catégorie" level="1" style="SlicerStyleDark1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BC63F7-1AB8-4E01-9F98-09A2C8EAF347}" name="TableauC" displayName="TableauC" ref="E1:E12" totalsRowShown="0" headerRowDxfId="105" headerRowBorderDxfId="104" tableBorderDxfId="103" totalsRowBorderDxfId="102">
  <autoFilter ref="E1:E12" xr:uid="{4DBC63F7-1AB8-4E01-9F98-09A2C8EAF347}"/>
  <tableColumns count="1">
    <tableColumn id="1" xr3:uid="{79BAEAE2-13BB-4894-A6B1-123474ECF825}" name="Catégorie" dataDxfId="10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2F84E9-17C7-4CFE-8630-9AD5B2BF3734}" name="TableauR" displayName="TableauR" ref="G1:G103" totalsRowShown="0" headerRowDxfId="100" headerRowBorderDxfId="99" tableBorderDxfId="98" totalsRowBorderDxfId="97">
  <autoFilter ref="G1:G103" xr:uid="{482F84E9-17C7-4CFE-8630-9AD5B2BF3734}"/>
  <tableColumns count="1">
    <tableColumn id="1" xr3:uid="{ABCEC96A-194A-42C3-AF29-DD8435182424}" name="Référenc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79A1232-E266-47F1-8DD5-1C10EA94A177}" name="TableauMO" displayName="TableauMO" ref="I1:I13" totalsRowShown="0" headerRowDxfId="96" headerRowBorderDxfId="95" tableBorderDxfId="94" totalsRowBorderDxfId="93">
  <autoFilter ref="I1:I13" xr:uid="{A79A1232-E266-47F1-8DD5-1C10EA94A177}"/>
  <tableColumns count="1">
    <tableColumn id="1" xr3:uid="{F9019D09-BBA1-441D-A2EA-947F1DD9D6B3}" name="Mois" dataDxfId="9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C4555CA-AFBA-4365-9F69-1C2138788134}" name="ListeS" displayName="ListeS" ref="C6:K30" totalsRowShown="0" headerRowDxfId="91" headerRowBorderDxfId="90" tableBorderDxfId="89" totalsRowBorderDxfId="88">
  <autoFilter ref="C6:K30" xr:uid="{3C4555CA-AFBA-4365-9F69-1C2138788134}"/>
  <tableColumns count="9">
    <tableColumn id="1" xr3:uid="{F5E938AC-19D3-4646-BF58-B9799218B43C}" name="Numéro" dataDxfId="87"/>
    <tableColumn id="2" xr3:uid="{2886E369-D0E1-4947-B6AD-4FD684229BB7}" name="Date" dataDxfId="86"/>
    <tableColumn id="3" xr3:uid="{0480A1E3-0CDB-47D4-98FE-C50B837F44D8}" name="Référence" dataDxfId="85"/>
    <tableColumn id="4" xr3:uid="{57F48ABA-A595-4EA0-BB2D-1892F0F744C6}" name="Designation" dataDxfId="84"/>
    <tableColumn id="5" xr3:uid="{CA403B3C-DE0F-4962-8C04-B50F9F40E6E6}" name="Catégorie" dataDxfId="83"/>
    <tableColumn id="6" xr3:uid="{01C79E2E-CA37-49FC-A032-76F0E2B0D6CA}" name="Unité" dataDxfId="82"/>
    <tableColumn id="7" xr3:uid="{BE94DADB-09D6-43B8-BDD5-0416B8BF40F1}" name="Prix de vente" dataDxfId="81"/>
    <tableColumn id="10" xr3:uid="{2E666F8E-CD2E-43CE-A1B7-F9438A3183F0}" name="Quantité" dataDxfId="80"/>
    <tableColumn id="8" xr3:uid="{AB6D9E8D-413B-4A26-B390-0B347C34A805}" name="Total" dataDxfId="79">
      <calculatedColumnFormula>ListeS[[#This Row],[Prix de vente]]*ListeS[[#This Row],[Quantité]]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AA1ADB-6ABA-4005-90EE-0AD9CE05D60B}" name="ListeM" displayName="ListeM" ref="C15:J117" totalsRowShown="0" headerRowDxfId="78" headerRowBorderDxfId="77" tableBorderDxfId="76" totalsRowBorderDxfId="75">
  <autoFilter ref="C15:J117" xr:uid="{FCAA1ADB-6ABA-4005-90EE-0AD9CE05D60B}"/>
  <tableColumns count="8">
    <tableColumn id="1" xr3:uid="{95B5A39D-F540-406F-B7BE-E45346143945}" name="Référence" dataDxfId="74"/>
    <tableColumn id="2" xr3:uid="{AECE5BFE-8A7B-414C-8950-D9A3A8FB6FBA}" name="Désignation" dataDxfId="73"/>
    <tableColumn id="3" xr3:uid="{5F5F5A86-C667-401D-9A25-88E40979F764}" name="Catégorie" dataDxfId="72"/>
    <tableColumn id="4" xr3:uid="{C7E82DB7-AC69-4191-AF36-D259CCBC7BED}" name="Unité" dataDxfId="71"/>
    <tableColumn id="5" xr3:uid="{10CB1603-CD57-4E0C-A2B1-E9171A03CD35}" name="Seuil d'arlerte" dataDxfId="70"/>
    <tableColumn id="6" xr3:uid="{C030FEAC-37B7-46C7-8692-22F2DC0D5BC0}" name="Stock initial" dataDxfId="69"/>
    <tableColumn id="7" xr3:uid="{A8083331-80BF-4E81-90C8-272AAE3C1A40}" name="Prix unitaire" dataDxfId="68"/>
    <tableColumn id="8" xr3:uid="{9A9C5FB1-C1C6-4A51-8FC6-968DAD5CBF10}" name="Total" dataDxfId="67">
      <calculatedColumnFormula>ListeM[[#This Row],[Stock initial]]*ListeM[[#This Row],[Prix unitaire]]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729CDB-5DCF-4E65-93F2-4568975C5278}" name="ListeE" displayName="ListeE" ref="C6:K33" totalsRowShown="0" headerRowDxfId="66" dataDxfId="64" headerRowBorderDxfId="65" tableBorderDxfId="63" totalsRowBorderDxfId="62">
  <autoFilter ref="C6:K33" xr:uid="{A6729CDB-5DCF-4E65-93F2-4568975C5278}"/>
  <tableColumns count="9">
    <tableColumn id="1" xr3:uid="{EE2C66A1-ED12-4FA5-BC3F-7140A8D7DD50}" name="Numéro" dataDxfId="50"/>
    <tableColumn id="2" xr3:uid="{0F2BF0BA-9684-4D02-BEC1-F25190470C49}" name="Date" dataDxfId="51"/>
    <tableColumn id="3" xr3:uid="{98F1ADE3-9178-4D56-87C8-8E858EA59AAE}" name="Référence" dataDxfId="61"/>
    <tableColumn id="4" xr3:uid="{7F91E703-59A4-47C5-B35B-C6A9CD26AD06}" name="Designation" dataDxfId="60"/>
    <tableColumn id="5" xr3:uid="{C829E1F9-419C-4D85-B18F-72221D8A945A}" name="Catégorie" dataDxfId="59"/>
    <tableColumn id="6" xr3:uid="{25A1EC31-3459-4A72-976E-8535FF93613E}" name="Unité" dataDxfId="58"/>
    <tableColumn id="7" xr3:uid="{C5DC46AA-747A-4E8F-9CE1-641080022989}" name="Coût d'achat" dataDxfId="57"/>
    <tableColumn id="10" xr3:uid="{97633361-F6DC-4DBE-971D-600C41298980}" name="Quantité" dataDxfId="56"/>
    <tableColumn id="8" xr3:uid="{B68191EA-BEBA-4A59-8E74-EF1B07555576}" name="Total" dataDxfId="55">
      <calculatedColumnFormula>ListeE[[#This Row],[Coût d''achat]]*ListeE[[#This Row],[Quantité]]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3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3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A8C98-8A23-4261-8501-C806407A4529}">
  <dimension ref="A1:C1"/>
  <sheetViews>
    <sheetView showGridLines="0" tabSelected="1" zoomScaleNormal="100" workbookViewId="0">
      <selection activeCell="C11" sqref="C11"/>
    </sheetView>
  </sheetViews>
  <sheetFormatPr baseColWidth="10" defaultRowHeight="14.5" x14ac:dyDescent="0.35"/>
  <cols>
    <col min="1" max="1" width="10.1796875" customWidth="1"/>
    <col min="2" max="2" width="10.08984375" customWidth="1"/>
    <col min="3" max="3" width="9.36328125" customWidth="1"/>
    <col min="4" max="16384" width="10.90625" style="62"/>
  </cols>
  <sheetData>
    <row r="1" ht="19.5" customHeight="1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468FC-4154-4492-BC49-19291E122A83}">
  <dimension ref="A1:I138"/>
  <sheetViews>
    <sheetView zoomScale="44" workbookViewId="0">
      <selection activeCell="B110" sqref="B110"/>
    </sheetView>
  </sheetViews>
  <sheetFormatPr baseColWidth="10" defaultRowHeight="14.5" x14ac:dyDescent="0.35"/>
  <cols>
    <col min="1" max="1" width="19.54296875" bestFit="1" customWidth="1"/>
    <col min="2" max="3" width="15.54296875" bestFit="1" customWidth="1"/>
    <col min="4" max="4" width="11.81640625" bestFit="1" customWidth="1"/>
    <col min="5" max="5" width="13.90625" customWidth="1"/>
    <col min="6" max="6" width="22.90625" bestFit="1" customWidth="1"/>
    <col min="7" max="7" width="11.36328125" customWidth="1"/>
  </cols>
  <sheetData>
    <row r="1" spans="1:9" ht="15" thickBot="1" x14ac:dyDescent="0.4">
      <c r="A1" s="70" t="s">
        <v>256</v>
      </c>
      <c r="B1" s="70" t="s">
        <v>257</v>
      </c>
      <c r="E1" s="64" t="s">
        <v>2</v>
      </c>
      <c r="G1" s="64" t="s">
        <v>0</v>
      </c>
      <c r="I1" s="64" t="s">
        <v>258</v>
      </c>
    </row>
    <row r="2" spans="1:9" ht="15" thickBot="1" x14ac:dyDescent="0.4">
      <c r="A2" s="84">
        <v>9943</v>
      </c>
      <c r="B2" s="85">
        <v>185902000</v>
      </c>
      <c r="E2" s="65" t="s">
        <v>12</v>
      </c>
      <c r="G2" s="69" t="s">
        <v>142</v>
      </c>
      <c r="I2" s="65" t="s">
        <v>259</v>
      </c>
    </row>
    <row r="3" spans="1:9" ht="15" thickBot="1" x14ac:dyDescent="0.4">
      <c r="E3" s="65" t="s">
        <v>27</v>
      </c>
      <c r="G3" s="69" t="s">
        <v>143</v>
      </c>
      <c r="I3" s="65" t="s">
        <v>260</v>
      </c>
    </row>
    <row r="4" spans="1:9" ht="15" thickBot="1" x14ac:dyDescent="0.4">
      <c r="A4" s="70" t="s">
        <v>271</v>
      </c>
      <c r="B4" s="70" t="s">
        <v>272</v>
      </c>
      <c r="E4" s="65" t="s">
        <v>38</v>
      </c>
      <c r="G4" s="69" t="s">
        <v>144</v>
      </c>
      <c r="I4" s="65" t="s">
        <v>261</v>
      </c>
    </row>
    <row r="5" spans="1:9" ht="15" thickBot="1" x14ac:dyDescent="0.4">
      <c r="A5" s="73">
        <v>540</v>
      </c>
      <c r="B5" s="73">
        <v>169460000</v>
      </c>
      <c r="E5" s="65" t="s">
        <v>53</v>
      </c>
      <c r="G5" s="69" t="s">
        <v>145</v>
      </c>
      <c r="I5" s="65" t="s">
        <v>262</v>
      </c>
    </row>
    <row r="6" spans="1:9" ht="15" thickBot="1" x14ac:dyDescent="0.4">
      <c r="E6" s="65" t="s">
        <v>60</v>
      </c>
      <c r="G6" s="69" t="s">
        <v>146</v>
      </c>
      <c r="I6" s="65" t="s">
        <v>263</v>
      </c>
    </row>
    <row r="7" spans="1:9" ht="15" thickBot="1" x14ac:dyDescent="0.4">
      <c r="A7" s="70" t="s">
        <v>271</v>
      </c>
      <c r="B7" s="70" t="s">
        <v>272</v>
      </c>
      <c r="E7" s="65" t="s">
        <v>63</v>
      </c>
      <c r="G7" s="69" t="s">
        <v>147</v>
      </c>
      <c r="I7" s="65" t="s">
        <v>264</v>
      </c>
    </row>
    <row r="8" spans="1:9" ht="15" thickBot="1" x14ac:dyDescent="0.4">
      <c r="A8" s="73">
        <v>623</v>
      </c>
      <c r="B8" s="73">
        <v>148417000</v>
      </c>
      <c r="E8" s="65" t="s">
        <v>72</v>
      </c>
      <c r="G8" s="69" t="s">
        <v>148</v>
      </c>
      <c r="I8" s="65" t="s">
        <v>265</v>
      </c>
    </row>
    <row r="9" spans="1:9" ht="15" thickBot="1" x14ac:dyDescent="0.4">
      <c r="E9" s="65" t="s">
        <v>85</v>
      </c>
      <c r="G9" s="69" t="s">
        <v>149</v>
      </c>
      <c r="I9" s="65" t="s">
        <v>266</v>
      </c>
    </row>
    <row r="10" spans="1:9" ht="15" thickBot="1" x14ac:dyDescent="0.4">
      <c r="A10" s="70" t="s">
        <v>273</v>
      </c>
      <c r="B10" s="70" t="s">
        <v>256</v>
      </c>
      <c r="E10" s="65" t="s">
        <v>96</v>
      </c>
      <c r="G10" s="69" t="s">
        <v>150</v>
      </c>
      <c r="I10" s="65" t="s">
        <v>267</v>
      </c>
    </row>
    <row r="11" spans="1:9" ht="15" thickBot="1" x14ac:dyDescent="0.4">
      <c r="A11" s="72" t="s">
        <v>27</v>
      </c>
      <c r="B11" s="73">
        <v>1071</v>
      </c>
      <c r="E11" s="65" t="s">
        <v>108</v>
      </c>
      <c r="G11" s="69" t="s">
        <v>151</v>
      </c>
      <c r="I11" s="65" t="s">
        <v>268</v>
      </c>
    </row>
    <row r="12" spans="1:9" ht="15" thickBot="1" x14ac:dyDescent="0.4">
      <c r="A12" s="72" t="s">
        <v>72</v>
      </c>
      <c r="B12" s="73">
        <v>1560</v>
      </c>
      <c r="E12" s="66" t="s">
        <v>124</v>
      </c>
      <c r="G12" s="69" t="s">
        <v>152</v>
      </c>
      <c r="I12" s="65" t="s">
        <v>269</v>
      </c>
    </row>
    <row r="13" spans="1:9" ht="15" thickBot="1" x14ac:dyDescent="0.4">
      <c r="A13" s="72" t="s">
        <v>124</v>
      </c>
      <c r="B13" s="73">
        <v>493</v>
      </c>
      <c r="G13" s="69" t="s">
        <v>153</v>
      </c>
      <c r="I13" s="66" t="s">
        <v>270</v>
      </c>
    </row>
    <row r="14" spans="1:9" ht="15" thickBot="1" x14ac:dyDescent="0.4">
      <c r="A14" s="72" t="s">
        <v>108</v>
      </c>
      <c r="B14" s="73">
        <v>1160</v>
      </c>
      <c r="G14" s="69" t="s">
        <v>154</v>
      </c>
    </row>
    <row r="15" spans="1:9" ht="15" thickBot="1" x14ac:dyDescent="0.4">
      <c r="A15" s="72" t="s">
        <v>63</v>
      </c>
      <c r="B15" s="73">
        <v>74</v>
      </c>
      <c r="G15" s="69" t="s">
        <v>155</v>
      </c>
    </row>
    <row r="16" spans="1:9" ht="15" thickBot="1" x14ac:dyDescent="0.4">
      <c r="A16" s="72" t="s">
        <v>60</v>
      </c>
      <c r="B16" s="73">
        <v>358</v>
      </c>
      <c r="G16" s="69" t="s">
        <v>156</v>
      </c>
    </row>
    <row r="17" spans="1:7" ht="15" thickBot="1" x14ac:dyDescent="0.4">
      <c r="A17" s="72" t="s">
        <v>85</v>
      </c>
      <c r="B17" s="73">
        <v>1320</v>
      </c>
      <c r="G17" s="69" t="s">
        <v>157</v>
      </c>
    </row>
    <row r="18" spans="1:7" ht="15" thickBot="1" x14ac:dyDescent="0.4">
      <c r="A18" s="72" t="s">
        <v>96</v>
      </c>
      <c r="B18" s="73">
        <v>2390</v>
      </c>
      <c r="G18" s="69" t="s">
        <v>158</v>
      </c>
    </row>
    <row r="19" spans="1:7" ht="15" thickBot="1" x14ac:dyDescent="0.4">
      <c r="A19" s="72" t="s">
        <v>38</v>
      </c>
      <c r="B19" s="73">
        <v>745</v>
      </c>
      <c r="G19" s="69" t="s">
        <v>159</v>
      </c>
    </row>
    <row r="20" spans="1:7" ht="15" thickBot="1" x14ac:dyDescent="0.4">
      <c r="A20" s="72" t="s">
        <v>53</v>
      </c>
      <c r="B20" s="73">
        <v>431</v>
      </c>
      <c r="G20" s="69" t="s">
        <v>160</v>
      </c>
    </row>
    <row r="21" spans="1:7" ht="15" thickBot="1" x14ac:dyDescent="0.4">
      <c r="A21" s="72" t="s">
        <v>12</v>
      </c>
      <c r="B21" s="73">
        <v>341</v>
      </c>
      <c r="G21" s="69" t="s">
        <v>161</v>
      </c>
    </row>
    <row r="22" spans="1:7" ht="15" thickBot="1" x14ac:dyDescent="0.4">
      <c r="A22" s="79" t="s">
        <v>274</v>
      </c>
      <c r="B22" s="78">
        <v>9943</v>
      </c>
      <c r="G22" s="69" t="s">
        <v>162</v>
      </c>
    </row>
    <row r="23" spans="1:7" ht="15" thickBot="1" x14ac:dyDescent="0.4">
      <c r="G23" s="69" t="s">
        <v>163</v>
      </c>
    </row>
    <row r="24" spans="1:7" ht="15" thickBot="1" x14ac:dyDescent="0.4">
      <c r="G24" s="69" t="s">
        <v>164</v>
      </c>
    </row>
    <row r="25" spans="1:7" ht="15" thickBot="1" x14ac:dyDescent="0.4">
      <c r="G25" s="69" t="s">
        <v>165</v>
      </c>
    </row>
    <row r="26" spans="1:7" ht="15" thickBot="1" x14ac:dyDescent="0.4">
      <c r="G26" s="69" t="s">
        <v>166</v>
      </c>
    </row>
    <row r="27" spans="1:7" ht="15" thickBot="1" x14ac:dyDescent="0.4">
      <c r="A27" s="70" t="s">
        <v>273</v>
      </c>
      <c r="B27" s="71" t="s">
        <v>257</v>
      </c>
      <c r="G27" s="69" t="s">
        <v>167</v>
      </c>
    </row>
    <row r="28" spans="1:7" ht="15" thickBot="1" x14ac:dyDescent="0.4">
      <c r="A28" s="72" t="s">
        <v>27</v>
      </c>
      <c r="B28" s="71">
        <v>6440000</v>
      </c>
      <c r="G28" s="69" t="s">
        <v>168</v>
      </c>
    </row>
    <row r="29" spans="1:7" ht="15" thickBot="1" x14ac:dyDescent="0.4">
      <c r="A29" s="72" t="s">
        <v>72</v>
      </c>
      <c r="B29" s="71">
        <v>3571000</v>
      </c>
      <c r="G29" s="69" t="s">
        <v>169</v>
      </c>
    </row>
    <row r="30" spans="1:7" ht="15" thickBot="1" x14ac:dyDescent="0.4">
      <c r="A30" s="72" t="s">
        <v>124</v>
      </c>
      <c r="B30" s="71">
        <v>26490000</v>
      </c>
      <c r="G30" s="69" t="s">
        <v>170</v>
      </c>
    </row>
    <row r="31" spans="1:7" ht="15" thickBot="1" x14ac:dyDescent="0.4">
      <c r="A31" s="72" t="s">
        <v>108</v>
      </c>
      <c r="B31" s="71">
        <v>7705000</v>
      </c>
      <c r="G31" s="69" t="s">
        <v>171</v>
      </c>
    </row>
    <row r="32" spans="1:7" ht="15" thickBot="1" x14ac:dyDescent="0.4">
      <c r="A32" s="72" t="s">
        <v>63</v>
      </c>
      <c r="B32" s="71">
        <v>7000000</v>
      </c>
      <c r="G32" s="69" t="s">
        <v>172</v>
      </c>
    </row>
    <row r="33" spans="1:7" ht="15" thickBot="1" x14ac:dyDescent="0.4">
      <c r="A33" s="72" t="s">
        <v>60</v>
      </c>
      <c r="B33" s="71">
        <v>20630000</v>
      </c>
      <c r="G33" s="69" t="s">
        <v>173</v>
      </c>
    </row>
    <row r="34" spans="1:7" ht="15" thickBot="1" x14ac:dyDescent="0.4">
      <c r="A34" s="72" t="s">
        <v>85</v>
      </c>
      <c r="B34" s="71">
        <v>1814000</v>
      </c>
      <c r="G34" s="69" t="s">
        <v>174</v>
      </c>
    </row>
    <row r="35" spans="1:7" ht="15" thickBot="1" x14ac:dyDescent="0.4">
      <c r="A35" s="72" t="s">
        <v>96</v>
      </c>
      <c r="B35" s="71">
        <v>1465000</v>
      </c>
      <c r="G35" s="69" t="s">
        <v>175</v>
      </c>
    </row>
    <row r="36" spans="1:7" ht="15" thickBot="1" x14ac:dyDescent="0.4">
      <c r="A36" s="72" t="s">
        <v>38</v>
      </c>
      <c r="B36" s="71">
        <v>47737000</v>
      </c>
      <c r="G36" s="69" t="s">
        <v>176</v>
      </c>
    </row>
    <row r="37" spans="1:7" ht="15" thickBot="1" x14ac:dyDescent="0.4">
      <c r="A37" s="72" t="s">
        <v>53</v>
      </c>
      <c r="B37" s="71">
        <v>2020000</v>
      </c>
      <c r="G37" s="69" t="s">
        <v>177</v>
      </c>
    </row>
    <row r="38" spans="1:7" ht="15" thickBot="1" x14ac:dyDescent="0.4">
      <c r="A38" s="72" t="s">
        <v>12</v>
      </c>
      <c r="B38" s="71">
        <v>61030000</v>
      </c>
      <c r="G38" s="69" t="s">
        <v>178</v>
      </c>
    </row>
    <row r="39" spans="1:7" ht="15" thickBot="1" x14ac:dyDescent="0.4">
      <c r="A39" s="79" t="s">
        <v>274</v>
      </c>
      <c r="B39" s="80">
        <v>185902000</v>
      </c>
      <c r="G39" s="69" t="s">
        <v>179</v>
      </c>
    </row>
    <row r="40" spans="1:7" ht="15" thickBot="1" x14ac:dyDescent="0.4">
      <c r="G40" s="69" t="s">
        <v>180</v>
      </c>
    </row>
    <row r="41" spans="1:7" ht="15" thickBot="1" x14ac:dyDescent="0.4">
      <c r="G41" s="69" t="s">
        <v>181</v>
      </c>
    </row>
    <row r="42" spans="1:7" ht="15" thickBot="1" x14ac:dyDescent="0.4">
      <c r="G42" s="69" t="s">
        <v>182</v>
      </c>
    </row>
    <row r="43" spans="1:7" ht="15" thickBot="1" x14ac:dyDescent="0.4">
      <c r="A43" s="70" t="s">
        <v>273</v>
      </c>
      <c r="B43" s="70" t="s">
        <v>271</v>
      </c>
      <c r="G43" s="69" t="s">
        <v>183</v>
      </c>
    </row>
    <row r="44" spans="1:7" ht="15" thickBot="1" x14ac:dyDescent="0.4">
      <c r="A44" s="72" t="s">
        <v>27</v>
      </c>
      <c r="B44" s="73">
        <v>19</v>
      </c>
      <c r="G44" s="69" t="s">
        <v>184</v>
      </c>
    </row>
    <row r="45" spans="1:7" ht="15" thickBot="1" x14ac:dyDescent="0.4">
      <c r="A45" s="72" t="s">
        <v>60</v>
      </c>
      <c r="B45" s="73">
        <v>14</v>
      </c>
      <c r="G45" s="69" t="s">
        <v>185</v>
      </c>
    </row>
    <row r="46" spans="1:7" ht="15" thickBot="1" x14ac:dyDescent="0.4">
      <c r="A46" s="72" t="s">
        <v>38</v>
      </c>
      <c r="B46" s="73">
        <v>75</v>
      </c>
      <c r="G46" s="69" t="s">
        <v>186</v>
      </c>
    </row>
    <row r="47" spans="1:7" ht="15" thickBot="1" x14ac:dyDescent="0.4">
      <c r="A47" s="72" t="s">
        <v>53</v>
      </c>
      <c r="B47" s="73">
        <v>2</v>
      </c>
      <c r="G47" s="69" t="s">
        <v>187</v>
      </c>
    </row>
    <row r="48" spans="1:7" ht="15" thickBot="1" x14ac:dyDescent="0.4">
      <c r="A48" s="72" t="s">
        <v>12</v>
      </c>
      <c r="B48" s="73">
        <v>540</v>
      </c>
      <c r="G48" s="69" t="s">
        <v>188</v>
      </c>
    </row>
    <row r="49" spans="1:7" ht="15" thickBot="1" x14ac:dyDescent="0.4">
      <c r="A49" s="75" t="s">
        <v>274</v>
      </c>
      <c r="B49" s="74">
        <v>650</v>
      </c>
      <c r="G49" s="69" t="s">
        <v>189</v>
      </c>
    </row>
    <row r="50" spans="1:7" ht="15" thickBot="1" x14ac:dyDescent="0.4">
      <c r="G50" s="69" t="s">
        <v>190</v>
      </c>
    </row>
    <row r="51" spans="1:7" ht="15" thickBot="1" x14ac:dyDescent="0.4">
      <c r="G51" s="69" t="s">
        <v>191</v>
      </c>
    </row>
    <row r="52" spans="1:7" ht="15" thickBot="1" x14ac:dyDescent="0.4">
      <c r="G52" s="69" t="s">
        <v>192</v>
      </c>
    </row>
    <row r="53" spans="1:7" ht="15" thickBot="1" x14ac:dyDescent="0.4">
      <c r="G53" s="69" t="s">
        <v>193</v>
      </c>
    </row>
    <row r="54" spans="1:7" ht="15" thickBot="1" x14ac:dyDescent="0.4">
      <c r="A54" s="70" t="s">
        <v>273</v>
      </c>
      <c r="B54" s="71" t="s">
        <v>272</v>
      </c>
      <c r="G54" s="69" t="s">
        <v>194</v>
      </c>
    </row>
    <row r="55" spans="1:7" ht="15" thickBot="1" x14ac:dyDescent="0.4">
      <c r="A55" s="72" t="s">
        <v>27</v>
      </c>
      <c r="B55" s="71">
        <v>77000</v>
      </c>
      <c r="G55" s="69" t="s">
        <v>195</v>
      </c>
    </row>
    <row r="56" spans="1:7" ht="15" thickBot="1" x14ac:dyDescent="0.4">
      <c r="A56" s="72" t="s">
        <v>60</v>
      </c>
      <c r="B56" s="71">
        <v>2280000</v>
      </c>
      <c r="G56" s="69" t="s">
        <v>196</v>
      </c>
    </row>
    <row r="57" spans="1:7" ht="15" thickBot="1" x14ac:dyDescent="0.4">
      <c r="A57" s="72" t="s">
        <v>38</v>
      </c>
      <c r="B57" s="71">
        <v>26157000</v>
      </c>
      <c r="G57" s="69" t="s">
        <v>197</v>
      </c>
    </row>
    <row r="58" spans="1:7" ht="15" thickBot="1" x14ac:dyDescent="0.4">
      <c r="A58" s="72" t="s">
        <v>53</v>
      </c>
      <c r="B58" s="71">
        <v>50000</v>
      </c>
      <c r="G58" s="69" t="s">
        <v>198</v>
      </c>
    </row>
    <row r="59" spans="1:7" ht="15" thickBot="1" x14ac:dyDescent="0.4">
      <c r="A59" s="72" t="s">
        <v>12</v>
      </c>
      <c r="B59" s="71">
        <v>169460000</v>
      </c>
      <c r="G59" s="69" t="s">
        <v>199</v>
      </c>
    </row>
    <row r="60" spans="1:7" ht="15" thickBot="1" x14ac:dyDescent="0.4">
      <c r="A60" s="72" t="s">
        <v>274</v>
      </c>
      <c r="B60" s="71">
        <v>198024000</v>
      </c>
      <c r="G60" s="69" t="s">
        <v>200</v>
      </c>
    </row>
    <row r="61" spans="1:7" ht="15" thickBot="1" x14ac:dyDescent="0.4">
      <c r="G61" s="69" t="s">
        <v>201</v>
      </c>
    </row>
    <row r="62" spans="1:7" ht="15" thickBot="1" x14ac:dyDescent="0.4">
      <c r="G62" s="69" t="s">
        <v>202</v>
      </c>
    </row>
    <row r="63" spans="1:7" ht="15" thickBot="1" x14ac:dyDescent="0.4">
      <c r="G63" s="69" t="s">
        <v>203</v>
      </c>
    </row>
    <row r="64" spans="1:7" ht="15" thickBot="1" x14ac:dyDescent="0.4">
      <c r="G64" s="69" t="s">
        <v>204</v>
      </c>
    </row>
    <row r="65" spans="1:7" ht="15" thickBot="1" x14ac:dyDescent="0.4">
      <c r="A65" s="70" t="s">
        <v>273</v>
      </c>
      <c r="B65" s="70" t="s">
        <v>271</v>
      </c>
      <c r="G65" s="69" t="s">
        <v>205</v>
      </c>
    </row>
    <row r="66" spans="1:7" ht="15" thickBot="1" x14ac:dyDescent="0.4">
      <c r="A66" s="72" t="s">
        <v>60</v>
      </c>
      <c r="B66" s="74">
        <v>6</v>
      </c>
      <c r="G66" s="69" t="s">
        <v>206</v>
      </c>
    </row>
    <row r="67" spans="1:7" ht="15" thickBot="1" x14ac:dyDescent="0.4">
      <c r="A67" s="72" t="s">
        <v>53</v>
      </c>
      <c r="B67" s="74">
        <v>21</v>
      </c>
      <c r="G67" s="69" t="s">
        <v>207</v>
      </c>
    </row>
    <row r="68" spans="1:7" ht="15" thickBot="1" x14ac:dyDescent="0.4">
      <c r="A68" s="72" t="s">
        <v>12</v>
      </c>
      <c r="B68" s="74">
        <v>283</v>
      </c>
      <c r="G68" s="69" t="s">
        <v>208</v>
      </c>
    </row>
    <row r="69" spans="1:7" ht="15" thickBot="1" x14ac:dyDescent="0.4">
      <c r="A69" s="76" t="s">
        <v>274</v>
      </c>
      <c r="B69" s="76">
        <v>310</v>
      </c>
      <c r="G69" s="69" t="s">
        <v>209</v>
      </c>
    </row>
    <row r="70" spans="1:7" ht="15" thickBot="1" x14ac:dyDescent="0.4">
      <c r="G70" s="69" t="s">
        <v>210</v>
      </c>
    </row>
    <row r="71" spans="1:7" ht="15" thickBot="1" x14ac:dyDescent="0.4">
      <c r="G71" s="69" t="s">
        <v>211</v>
      </c>
    </row>
    <row r="72" spans="1:7" ht="15" thickBot="1" x14ac:dyDescent="0.4">
      <c r="A72" s="70" t="s">
        <v>273</v>
      </c>
      <c r="B72" s="71" t="s">
        <v>272</v>
      </c>
      <c r="G72" s="69" t="s">
        <v>212</v>
      </c>
    </row>
    <row r="73" spans="1:7" ht="15" thickBot="1" x14ac:dyDescent="0.4">
      <c r="A73" s="72" t="s">
        <v>60</v>
      </c>
      <c r="B73" s="71">
        <v>900000</v>
      </c>
      <c r="G73" s="69" t="s">
        <v>213</v>
      </c>
    </row>
    <row r="74" spans="1:7" ht="15" thickBot="1" x14ac:dyDescent="0.4">
      <c r="A74" s="72" t="s">
        <v>53</v>
      </c>
      <c r="B74" s="71">
        <v>525000</v>
      </c>
      <c r="G74" s="69" t="s">
        <v>214</v>
      </c>
    </row>
    <row r="75" spans="1:7" ht="15" thickBot="1" x14ac:dyDescent="0.4">
      <c r="A75" s="72" t="s">
        <v>12</v>
      </c>
      <c r="B75" s="71">
        <v>72700000</v>
      </c>
      <c r="G75" s="69" t="s">
        <v>215</v>
      </c>
    </row>
    <row r="76" spans="1:7" ht="15" thickBot="1" x14ac:dyDescent="0.4">
      <c r="A76" s="72" t="s">
        <v>274</v>
      </c>
      <c r="B76" s="71">
        <v>74125000</v>
      </c>
      <c r="G76" s="69" t="s">
        <v>216</v>
      </c>
    </row>
    <row r="77" spans="1:7" ht="15" thickBot="1" x14ac:dyDescent="0.4">
      <c r="G77" s="69" t="s">
        <v>217</v>
      </c>
    </row>
    <row r="78" spans="1:7" ht="15" thickBot="1" x14ac:dyDescent="0.4">
      <c r="A78" s="67" t="s">
        <v>273</v>
      </c>
      <c r="B78" t="s">
        <v>271</v>
      </c>
      <c r="G78" s="69" t="s">
        <v>218</v>
      </c>
    </row>
    <row r="79" spans="1:7" ht="15" thickBot="1" x14ac:dyDescent="0.4">
      <c r="A79" s="68" t="s">
        <v>275</v>
      </c>
      <c r="B79" s="63">
        <v>4</v>
      </c>
      <c r="D79" t="str" cm="1">
        <f t="array" ref="D79:D84">A79:A84</f>
        <v>Jan</v>
      </c>
      <c r="E79">
        <f>VLOOKUP(D79,$A$79:$B$84,2,0)</f>
        <v>4</v>
      </c>
      <c r="F79" t="str">
        <f>IF(E79=MAX($E$79:$E$84),E79,"")</f>
        <v/>
      </c>
      <c r="G79" s="69" t="s">
        <v>219</v>
      </c>
    </row>
    <row r="80" spans="1:7" ht="15" thickBot="1" x14ac:dyDescent="0.4">
      <c r="A80" s="68" t="s">
        <v>276</v>
      </c>
      <c r="B80" s="63">
        <v>409</v>
      </c>
      <c r="D80" t="str">
        <v>Mar</v>
      </c>
      <c r="E80">
        <f t="shared" ref="E80:E84" si="0">VLOOKUP(D80,$A$79:$B$84,2,0)</f>
        <v>409</v>
      </c>
      <c r="F80">
        <f t="shared" ref="F80:F84" si="1">IF(E80=MAX($E$79:$E$84),E80,"")</f>
        <v>409</v>
      </c>
      <c r="G80" s="69" t="s">
        <v>220</v>
      </c>
    </row>
    <row r="81" spans="1:7" ht="15" thickBot="1" x14ac:dyDescent="0.4">
      <c r="A81" s="68" t="s">
        <v>277</v>
      </c>
      <c r="B81" s="63">
        <v>12</v>
      </c>
      <c r="D81" t="str">
        <v>Apr</v>
      </c>
      <c r="E81">
        <f t="shared" si="0"/>
        <v>12</v>
      </c>
      <c r="F81" t="str">
        <f t="shared" si="1"/>
        <v/>
      </c>
      <c r="G81" s="69" t="s">
        <v>221</v>
      </c>
    </row>
    <row r="82" spans="1:7" ht="15" thickBot="1" x14ac:dyDescent="0.4">
      <c r="A82" s="68" t="s">
        <v>278</v>
      </c>
      <c r="B82" s="63">
        <v>102</v>
      </c>
      <c r="D82" t="str">
        <v>May</v>
      </c>
      <c r="E82">
        <f t="shared" si="0"/>
        <v>102</v>
      </c>
      <c r="F82" t="str">
        <f t="shared" si="1"/>
        <v/>
      </c>
      <c r="G82" s="69" t="s">
        <v>222</v>
      </c>
    </row>
    <row r="83" spans="1:7" ht="15" thickBot="1" x14ac:dyDescent="0.4">
      <c r="A83" s="68" t="s">
        <v>279</v>
      </c>
      <c r="B83" s="63">
        <v>3</v>
      </c>
      <c r="D83" t="str">
        <v>Jun</v>
      </c>
      <c r="E83">
        <f t="shared" si="0"/>
        <v>3</v>
      </c>
      <c r="F83" t="str">
        <f t="shared" si="1"/>
        <v/>
      </c>
      <c r="G83" s="69" t="s">
        <v>223</v>
      </c>
    </row>
    <row r="84" spans="1:7" ht="15" thickBot="1" x14ac:dyDescent="0.4">
      <c r="A84" s="68" t="s">
        <v>280</v>
      </c>
      <c r="B84" s="63">
        <v>120</v>
      </c>
      <c r="D84" t="str">
        <v>Jul</v>
      </c>
      <c r="E84">
        <f t="shared" si="0"/>
        <v>120</v>
      </c>
      <c r="F84" t="str">
        <f t="shared" si="1"/>
        <v/>
      </c>
      <c r="G84" s="69" t="s">
        <v>224</v>
      </c>
    </row>
    <row r="85" spans="1:7" ht="15" thickBot="1" x14ac:dyDescent="0.4">
      <c r="A85" s="68" t="s">
        <v>274</v>
      </c>
      <c r="B85" s="63">
        <v>650</v>
      </c>
      <c r="G85" s="69" t="s">
        <v>225</v>
      </c>
    </row>
    <row r="86" spans="1:7" ht="15" thickBot="1" x14ac:dyDescent="0.4">
      <c r="G86" s="69" t="s">
        <v>226</v>
      </c>
    </row>
    <row r="87" spans="1:7" ht="15" thickBot="1" x14ac:dyDescent="0.4">
      <c r="G87" s="69" t="s">
        <v>227</v>
      </c>
    </row>
    <row r="88" spans="1:7" ht="15" thickBot="1" x14ac:dyDescent="0.4">
      <c r="A88" s="67" t="s">
        <v>273</v>
      </c>
      <c r="B88" t="s">
        <v>271</v>
      </c>
      <c r="G88" s="69" t="s">
        <v>228</v>
      </c>
    </row>
    <row r="89" spans="1:7" ht="15" thickBot="1" x14ac:dyDescent="0.4">
      <c r="A89" s="68" t="s">
        <v>276</v>
      </c>
      <c r="B89" s="63">
        <v>352</v>
      </c>
      <c r="D89" t="str" cm="1">
        <f t="array" ref="D89:D93">A89:A93</f>
        <v>Mar</v>
      </c>
      <c r="E89">
        <f>VLOOKUP(D89,$A$89:$B$93,2,0)</f>
        <v>352</v>
      </c>
      <c r="F89">
        <f>IF(E89=MAX($E$89:$E$93),E89,"")</f>
        <v>352</v>
      </c>
      <c r="G89" s="69" t="s">
        <v>229</v>
      </c>
    </row>
    <row r="90" spans="1:7" ht="15" thickBot="1" x14ac:dyDescent="0.4">
      <c r="A90" s="68" t="s">
        <v>277</v>
      </c>
      <c r="B90" s="63">
        <v>158</v>
      </c>
      <c r="D90" t="str">
        <v>Apr</v>
      </c>
      <c r="E90">
        <f t="shared" ref="E90:E93" si="2">VLOOKUP(D90,$A$89:$B$93,2,0)</f>
        <v>158</v>
      </c>
      <c r="F90" t="str">
        <f t="shared" ref="F90:F93" si="3">IF(E90=MAX($E$89:$E$93),E90,"")</f>
        <v/>
      </c>
      <c r="G90" s="69" t="s">
        <v>230</v>
      </c>
    </row>
    <row r="91" spans="1:7" ht="15" thickBot="1" x14ac:dyDescent="0.4">
      <c r="A91" s="68" t="s">
        <v>278</v>
      </c>
      <c r="B91" s="63">
        <v>23</v>
      </c>
      <c r="D91" t="str">
        <v>May</v>
      </c>
      <c r="E91">
        <f t="shared" si="2"/>
        <v>23</v>
      </c>
      <c r="F91" t="str">
        <f t="shared" si="3"/>
        <v/>
      </c>
      <c r="G91" s="69" t="s">
        <v>231</v>
      </c>
    </row>
    <row r="92" spans="1:7" ht="15" thickBot="1" x14ac:dyDescent="0.4">
      <c r="A92" s="68" t="s">
        <v>279</v>
      </c>
      <c r="B92" s="63">
        <v>65</v>
      </c>
      <c r="D92" t="str">
        <v>Jun</v>
      </c>
      <c r="E92">
        <f t="shared" si="2"/>
        <v>65</v>
      </c>
      <c r="F92" t="str">
        <f t="shared" si="3"/>
        <v/>
      </c>
      <c r="G92" s="69" t="s">
        <v>232</v>
      </c>
    </row>
    <row r="93" spans="1:7" ht="15" thickBot="1" x14ac:dyDescent="0.4">
      <c r="A93" s="68" t="s">
        <v>280</v>
      </c>
      <c r="B93" s="63">
        <v>25</v>
      </c>
      <c r="D93" t="str">
        <v>Jul</v>
      </c>
      <c r="E93">
        <f t="shared" si="2"/>
        <v>25</v>
      </c>
      <c r="F93" t="str">
        <f t="shared" si="3"/>
        <v/>
      </c>
      <c r="G93" s="69" t="s">
        <v>233</v>
      </c>
    </row>
    <row r="94" spans="1:7" ht="15" thickBot="1" x14ac:dyDescent="0.4">
      <c r="A94" s="68" t="s">
        <v>274</v>
      </c>
      <c r="B94" s="63">
        <v>623</v>
      </c>
      <c r="G94" s="69" t="s">
        <v>234</v>
      </c>
    </row>
    <row r="95" spans="1:7" ht="15" thickBot="1" x14ac:dyDescent="0.4">
      <c r="G95" s="69" t="s">
        <v>235</v>
      </c>
    </row>
    <row r="96" spans="1:7" ht="15" thickBot="1" x14ac:dyDescent="0.4">
      <c r="G96" s="69" t="s">
        <v>236</v>
      </c>
    </row>
    <row r="97" spans="1:7" ht="15" thickBot="1" x14ac:dyDescent="0.4">
      <c r="A97" s="67" t="s">
        <v>273</v>
      </c>
      <c r="B97" t="s">
        <v>272</v>
      </c>
      <c r="C97" t="s">
        <v>281</v>
      </c>
      <c r="G97" s="69" t="s">
        <v>237</v>
      </c>
    </row>
    <row r="98" spans="1:7" ht="15" thickBot="1" x14ac:dyDescent="0.4">
      <c r="A98" s="68" t="s">
        <v>275</v>
      </c>
      <c r="B98" s="77">
        <v>1200000</v>
      </c>
      <c r="C98" s="77">
        <v>1200000</v>
      </c>
      <c r="G98" s="69" t="s">
        <v>238</v>
      </c>
    </row>
    <row r="99" spans="1:7" ht="15" thickBot="1" x14ac:dyDescent="0.4">
      <c r="A99" s="68" t="s">
        <v>276</v>
      </c>
      <c r="B99" s="77">
        <v>139259000</v>
      </c>
      <c r="C99" s="77">
        <v>139259000</v>
      </c>
      <c r="G99" s="69" t="s">
        <v>239</v>
      </c>
    </row>
    <row r="100" spans="1:7" ht="15" thickBot="1" x14ac:dyDescent="0.4">
      <c r="A100" s="68" t="s">
        <v>277</v>
      </c>
      <c r="B100" s="77">
        <v>1700000</v>
      </c>
      <c r="C100" s="77">
        <v>1700000</v>
      </c>
      <c r="G100" s="69" t="s">
        <v>240</v>
      </c>
    </row>
    <row r="101" spans="1:7" ht="15" thickBot="1" x14ac:dyDescent="0.4">
      <c r="A101" s="68" t="s">
        <v>278</v>
      </c>
      <c r="B101" s="77">
        <v>25480000</v>
      </c>
      <c r="C101" s="77">
        <v>25480000</v>
      </c>
      <c r="G101" s="69" t="s">
        <v>241</v>
      </c>
    </row>
    <row r="102" spans="1:7" ht="15" thickBot="1" x14ac:dyDescent="0.4">
      <c r="A102" s="68" t="s">
        <v>279</v>
      </c>
      <c r="B102" s="77">
        <v>1085000</v>
      </c>
      <c r="C102" s="77">
        <v>1085000</v>
      </c>
      <c r="G102" s="69" t="s">
        <v>242</v>
      </c>
    </row>
    <row r="103" spans="1:7" ht="15" thickBot="1" x14ac:dyDescent="0.4">
      <c r="A103" s="68" t="s">
        <v>280</v>
      </c>
      <c r="B103" s="77">
        <v>29300000</v>
      </c>
      <c r="C103" s="77">
        <v>29300000</v>
      </c>
      <c r="G103" s="69" t="s">
        <v>243</v>
      </c>
    </row>
    <row r="104" spans="1:7" x14ac:dyDescent="0.35">
      <c r="A104" s="68" t="s">
        <v>274</v>
      </c>
      <c r="B104" s="77">
        <v>198024000</v>
      </c>
      <c r="C104" s="77">
        <v>198024000</v>
      </c>
    </row>
    <row r="107" spans="1:7" x14ac:dyDescent="0.35">
      <c r="A107" s="67" t="s">
        <v>273</v>
      </c>
      <c r="B107" t="s">
        <v>272</v>
      </c>
      <c r="C107" t="s">
        <v>281</v>
      </c>
    </row>
    <row r="108" spans="1:7" x14ac:dyDescent="0.35">
      <c r="A108" s="68" t="s">
        <v>276</v>
      </c>
      <c r="B108" s="77">
        <v>81717000</v>
      </c>
      <c r="C108" s="77">
        <v>81717000</v>
      </c>
    </row>
    <row r="109" spans="1:7" x14ac:dyDescent="0.35">
      <c r="A109" s="68" t="s">
        <v>277</v>
      </c>
      <c r="B109" s="77">
        <v>35200000</v>
      </c>
      <c r="C109" s="77">
        <v>35200000</v>
      </c>
    </row>
    <row r="110" spans="1:7" x14ac:dyDescent="0.35">
      <c r="A110" s="68" t="s">
        <v>278</v>
      </c>
      <c r="B110" s="77">
        <v>9000000</v>
      </c>
      <c r="C110" s="77">
        <v>9000000</v>
      </c>
    </row>
    <row r="111" spans="1:7" x14ac:dyDescent="0.35">
      <c r="A111" s="68" t="s">
        <v>279</v>
      </c>
      <c r="B111" s="77">
        <v>16250000</v>
      </c>
      <c r="C111" s="77">
        <v>16250000</v>
      </c>
    </row>
    <row r="112" spans="1:7" x14ac:dyDescent="0.35">
      <c r="A112" s="68" t="s">
        <v>280</v>
      </c>
      <c r="B112" s="77">
        <v>6250000</v>
      </c>
      <c r="C112" s="77">
        <v>6250000</v>
      </c>
    </row>
    <row r="113" spans="1:3" x14ac:dyDescent="0.35">
      <c r="A113" s="68" t="s">
        <v>274</v>
      </c>
      <c r="B113" s="77">
        <v>148417000</v>
      </c>
      <c r="C113" s="77">
        <v>148417000</v>
      </c>
    </row>
    <row r="121" spans="1:3" x14ac:dyDescent="0.35">
      <c r="A121" s="67" t="s">
        <v>273</v>
      </c>
      <c r="B121" t="s">
        <v>272</v>
      </c>
    </row>
    <row r="122" spans="1:3" x14ac:dyDescent="0.35">
      <c r="A122" s="68" t="s">
        <v>19</v>
      </c>
      <c r="B122" s="77">
        <v>31350000</v>
      </c>
    </row>
    <row r="123" spans="1:3" x14ac:dyDescent="0.35">
      <c r="A123" s="68" t="s">
        <v>11</v>
      </c>
      <c r="B123" s="77">
        <v>53500000</v>
      </c>
    </row>
    <row r="124" spans="1:3" x14ac:dyDescent="0.35">
      <c r="A124" s="68" t="s">
        <v>14</v>
      </c>
      <c r="B124" s="77">
        <v>65500000</v>
      </c>
    </row>
    <row r="125" spans="1:3" x14ac:dyDescent="0.35">
      <c r="A125" s="68" t="s">
        <v>274</v>
      </c>
      <c r="B125" s="77">
        <v>150350000</v>
      </c>
    </row>
    <row r="131" spans="1:3" x14ac:dyDescent="0.35">
      <c r="A131" s="67" t="s">
        <v>273</v>
      </c>
      <c r="B131" t="s">
        <v>256</v>
      </c>
    </row>
    <row r="132" spans="1:3" x14ac:dyDescent="0.35">
      <c r="A132" s="68" t="s">
        <v>64</v>
      </c>
      <c r="B132" s="63">
        <v>0</v>
      </c>
      <c r="C132" t="e" cm="1">
        <f t="array" ref="C132">Opérations!F7T</f>
        <v>#NAME?</v>
      </c>
    </row>
    <row r="133" spans="1:3" x14ac:dyDescent="0.35">
      <c r="A133" s="68" t="s">
        <v>11</v>
      </c>
      <c r="B133" s="63">
        <v>0</v>
      </c>
    </row>
    <row r="134" spans="1:3" x14ac:dyDescent="0.35">
      <c r="A134" s="68" t="s">
        <v>19</v>
      </c>
      <c r="B134" s="63">
        <v>0</v>
      </c>
    </row>
    <row r="135" spans="1:3" x14ac:dyDescent="0.35">
      <c r="A135" s="68" t="s">
        <v>17</v>
      </c>
      <c r="B135" s="63">
        <v>0</v>
      </c>
    </row>
    <row r="136" spans="1:3" x14ac:dyDescent="0.35">
      <c r="A136" s="68" t="s">
        <v>23</v>
      </c>
      <c r="B136" s="63">
        <v>0</v>
      </c>
    </row>
    <row r="137" spans="1:3" x14ac:dyDescent="0.35">
      <c r="A137" s="68" t="s">
        <v>55</v>
      </c>
      <c r="B137" s="63">
        <v>0</v>
      </c>
    </row>
    <row r="138" spans="1:3" x14ac:dyDescent="0.35">
      <c r="A138" s="68" t="s">
        <v>274</v>
      </c>
      <c r="B138" s="63">
        <v>0</v>
      </c>
    </row>
  </sheetData>
  <phoneticPr fontId="11" type="noConversion"/>
  <pageMargins left="0.7" right="0.7" top="0.75" bottom="0.75" header="0.3" footer="0.3"/>
  <drawing r:id="rId16"/>
  <tableParts count="3">
    <tablePart r:id="rId17"/>
    <tablePart r:id="rId18"/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2D9B5-CF3C-422C-96C4-A20BE329741B}">
  <sheetPr codeName="Feuil2"/>
  <dimension ref="A1:N20"/>
  <sheetViews>
    <sheetView workbookViewId="0">
      <selection activeCell="F7" sqref="F7"/>
    </sheetView>
  </sheetViews>
  <sheetFormatPr baseColWidth="10" defaultRowHeight="14.5" x14ac:dyDescent="0.35"/>
  <cols>
    <col min="1" max="1" width="12.54296875" style="6" customWidth="1"/>
    <col min="2" max="2" width="4.36328125" style="6" customWidth="1"/>
    <col min="3" max="3" width="14.26953125" style="6" customWidth="1"/>
    <col min="4" max="4" width="9.6328125" style="6" customWidth="1"/>
    <col min="5" max="5" width="6.81640625" style="6" customWidth="1"/>
    <col min="6" max="6" width="28.54296875" style="6" customWidth="1"/>
    <col min="7" max="7" width="6.1796875" style="6" customWidth="1"/>
    <col min="8" max="8" width="29.453125" style="6" customWidth="1"/>
    <col min="9" max="9" width="7.90625" style="17" customWidth="1"/>
    <col min="10" max="10" width="15.7265625" style="21" customWidth="1"/>
    <col min="11" max="11" width="11.81640625" style="21" customWidth="1"/>
    <col min="12" max="12" width="21.1796875" style="21" customWidth="1"/>
    <col min="13" max="13" width="4.08984375" style="6" customWidth="1"/>
    <col min="14" max="16384" width="10.90625" style="6"/>
  </cols>
  <sheetData>
    <row r="1" spans="1:14" s="4" customFormat="1" x14ac:dyDescent="0.35">
      <c r="A1" s="3"/>
      <c r="B1" s="3"/>
      <c r="C1" s="3"/>
      <c r="D1" s="3"/>
      <c r="E1" s="3"/>
      <c r="F1" s="3"/>
      <c r="G1" s="3"/>
      <c r="H1" s="3"/>
      <c r="I1" s="12"/>
      <c r="J1" s="18"/>
      <c r="K1" s="18"/>
      <c r="L1" s="18"/>
      <c r="M1" s="3"/>
      <c r="N1" s="3"/>
    </row>
    <row r="2" spans="1:14" s="4" customFormat="1" x14ac:dyDescent="0.35">
      <c r="A2" s="3"/>
      <c r="B2" s="3"/>
      <c r="C2" s="3"/>
      <c r="D2" s="3"/>
      <c r="E2" s="3"/>
      <c r="F2" s="3"/>
      <c r="G2" s="3"/>
      <c r="H2" s="3"/>
      <c r="I2" s="12"/>
      <c r="J2" s="18"/>
      <c r="K2" s="18"/>
      <c r="L2" s="18"/>
      <c r="M2" s="3"/>
      <c r="N2" s="3"/>
    </row>
    <row r="3" spans="1:14" s="3" customFormat="1" ht="24" customHeight="1" x14ac:dyDescent="0.35">
      <c r="E3" s="5"/>
      <c r="F3" s="81" t="s">
        <v>139</v>
      </c>
      <c r="G3" s="81"/>
      <c r="H3" s="5"/>
      <c r="I3" s="5"/>
      <c r="J3" s="18"/>
      <c r="K3" s="18"/>
      <c r="L3" s="18"/>
    </row>
    <row r="4" spans="1:14" x14ac:dyDescent="0.35">
      <c r="E4" s="5"/>
      <c r="F4" s="82" t="s">
        <v>141</v>
      </c>
      <c r="G4" s="82"/>
      <c r="H4" s="82"/>
      <c r="I4" s="82"/>
    </row>
    <row r="5" spans="1:14" x14ac:dyDescent="0.35">
      <c r="E5" s="5"/>
      <c r="F5" s="5"/>
      <c r="G5" s="5"/>
      <c r="H5" s="5"/>
      <c r="I5" s="13"/>
    </row>
    <row r="6" spans="1:14" ht="15" thickBot="1" x14ac:dyDescent="0.4">
      <c r="E6" s="5"/>
      <c r="F6" s="7" t="s">
        <v>0</v>
      </c>
      <c r="G6" s="5"/>
      <c r="H6" s="7" t="s">
        <v>16</v>
      </c>
      <c r="I6" s="13"/>
    </row>
    <row r="7" spans="1:14" ht="19" customHeight="1" thickTop="1" thickBot="1" x14ac:dyDescent="0.4">
      <c r="E7" s="5"/>
      <c r="F7" s="29"/>
      <c r="G7" s="5"/>
      <c r="H7" s="31">
        <f ca="1">TODAY()</f>
        <v>46112</v>
      </c>
      <c r="I7" s="13"/>
    </row>
    <row r="8" spans="1:14" ht="15" thickTop="1" x14ac:dyDescent="0.35">
      <c r="E8" s="5"/>
      <c r="F8" s="5"/>
      <c r="G8" s="5"/>
      <c r="H8" s="5"/>
      <c r="I8" s="13"/>
      <c r="K8" s="21" t="s">
        <v>244</v>
      </c>
      <c r="L8" s="6"/>
    </row>
    <row r="9" spans="1:14" ht="15" thickBot="1" x14ac:dyDescent="0.4">
      <c r="E9" s="5"/>
      <c r="F9" s="7" t="s">
        <v>1</v>
      </c>
      <c r="G9" s="5"/>
      <c r="H9" s="5" t="s">
        <v>140</v>
      </c>
      <c r="I9" s="13"/>
    </row>
    <row r="10" spans="1:14" ht="19" customHeight="1" thickTop="1" thickBot="1" x14ac:dyDescent="0.4">
      <c r="E10" s="5"/>
      <c r="F10" s="29" t="str">
        <f>IFERROR(VLOOKUP($F$7,ListeM[],2,0),"")</f>
        <v/>
      </c>
      <c r="G10" s="5"/>
      <c r="H10" s="30" t="str">
        <f>IFERROR(VLOOKUP($F$7,ListeM[],7,0),"")</f>
        <v/>
      </c>
      <c r="I10" s="13"/>
    </row>
    <row r="11" spans="1:14" ht="15" thickTop="1" x14ac:dyDescent="0.35">
      <c r="E11" s="5"/>
      <c r="F11" s="5"/>
      <c r="G11" s="5"/>
      <c r="H11" s="5"/>
      <c r="I11" s="13"/>
    </row>
    <row r="12" spans="1:14" ht="15" thickBot="1" x14ac:dyDescent="0.4">
      <c r="E12" s="5"/>
      <c r="F12" s="7" t="s">
        <v>2</v>
      </c>
      <c r="G12" s="5"/>
      <c r="H12" s="5" t="s">
        <v>136</v>
      </c>
      <c r="I12" s="13"/>
    </row>
    <row r="13" spans="1:14" ht="19" customHeight="1" thickTop="1" thickBot="1" x14ac:dyDescent="0.4">
      <c r="E13" s="5"/>
      <c r="F13" s="29" t="str">
        <f>IFERROR(VLOOKUP($F$7,ListeM[],3,0),"")</f>
        <v/>
      </c>
      <c r="G13" s="5"/>
      <c r="H13" s="28"/>
      <c r="I13" s="13"/>
    </row>
    <row r="14" spans="1:14" ht="15" thickTop="1" x14ac:dyDescent="0.35">
      <c r="E14" s="5"/>
      <c r="F14" s="5"/>
      <c r="G14" s="5"/>
      <c r="H14" s="5"/>
      <c r="I14" s="13"/>
    </row>
    <row r="15" spans="1:14" ht="15" thickBot="1" x14ac:dyDescent="0.4">
      <c r="E15" s="5"/>
      <c r="F15" s="7" t="s">
        <v>7</v>
      </c>
      <c r="G15" s="5"/>
      <c r="H15" s="5" t="s">
        <v>6</v>
      </c>
      <c r="I15" s="13"/>
    </row>
    <row r="16" spans="1:14" ht="19" customHeight="1" thickTop="1" thickBot="1" x14ac:dyDescent="0.4">
      <c r="E16" s="5"/>
      <c r="F16" s="29" t="str">
        <f>IFERROR(VLOOKUP($F$7,ListeM[],4,0),"")</f>
        <v/>
      </c>
      <c r="G16" s="5"/>
      <c r="H16" s="30" t="str">
        <f>IFERROR($H$13*$H$10,"-  FCFA")</f>
        <v>-  FCFA</v>
      </c>
      <c r="I16" s="13"/>
    </row>
    <row r="17" spans="5:9" ht="15" thickTop="1" x14ac:dyDescent="0.35">
      <c r="E17" s="5"/>
      <c r="F17" s="5"/>
      <c r="G17" s="5"/>
      <c r="H17" s="5"/>
      <c r="I17" s="13"/>
    </row>
    <row r="18" spans="5:9" x14ac:dyDescent="0.35">
      <c r="E18" s="5"/>
      <c r="F18" s="5"/>
      <c r="G18" s="5"/>
      <c r="H18" s="5"/>
      <c r="I18" s="13"/>
    </row>
    <row r="19" spans="5:9" x14ac:dyDescent="0.35">
      <c r="E19" s="5"/>
      <c r="F19" s="5"/>
      <c r="G19" s="5"/>
      <c r="H19" s="5"/>
      <c r="I19" s="13"/>
    </row>
    <row r="20" spans="5:9" x14ac:dyDescent="0.35">
      <c r="E20" s="5"/>
      <c r="F20" s="5"/>
      <c r="G20" s="5"/>
      <c r="H20" s="5"/>
      <c r="I20" s="13"/>
    </row>
  </sheetData>
  <mergeCells count="2">
    <mergeCell ref="F3:G3"/>
    <mergeCell ref="F4:I4"/>
  </mergeCells>
  <dataValidations count="2">
    <dataValidation type="date" operator="equal" allowBlank="1" showInputMessage="1" showErrorMessage="1" sqref="H7" xr:uid="{8ED41499-F02B-4046-823E-6CB2B433184E}">
      <formula1>H7</formula1>
    </dataValidation>
    <dataValidation allowBlank="1" showInputMessage="1" showErrorMessage="1" errorTitle="Erreur" error="Valeur incorecte" prompt="Veuillez saisir un nombre entier !" sqref="H13" xr:uid="{23DEF12C-2A98-4C78-BF92-9A49BA8CAE78}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88D2A6-AFDE-4AAF-8475-5C2F6F1D56CA}">
          <x14:formula1>
            <xm:f>Marchandises!$C$16:$C$117</xm:f>
          </x14:formula1>
          <xm:sqref>F7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31B0C-673F-44D9-88A0-5709403FDE77}">
  <sheetPr codeName="Feuil4"/>
  <dimension ref="A1:M32"/>
  <sheetViews>
    <sheetView workbookViewId="0">
      <selection activeCell="C7" sqref="C7"/>
    </sheetView>
  </sheetViews>
  <sheetFormatPr baseColWidth="10" defaultRowHeight="14.5" x14ac:dyDescent="0.35"/>
  <cols>
    <col min="1" max="1" width="12.54296875" style="6" customWidth="1"/>
    <col min="2" max="2" width="4.36328125" style="6" customWidth="1"/>
    <col min="3" max="3" width="11.26953125" style="6" customWidth="1"/>
    <col min="4" max="4" width="15.6328125" style="6" customWidth="1"/>
    <col min="5" max="5" width="14.6328125" style="6" customWidth="1"/>
    <col min="6" max="6" width="24.08984375" style="6" customWidth="1"/>
    <col min="7" max="7" width="15.90625" style="17" customWidth="1"/>
    <col min="8" max="8" width="9.36328125" style="6" customWidth="1"/>
    <col min="9" max="9" width="21" style="21" customWidth="1"/>
    <col min="10" max="10" width="11.81640625" style="21" customWidth="1"/>
    <col min="11" max="11" width="21.1796875" style="21" customWidth="1"/>
    <col min="12" max="12" width="4.08984375" style="6" customWidth="1"/>
    <col min="13" max="16384" width="10.90625" style="6"/>
  </cols>
  <sheetData>
    <row r="1" spans="1:13" s="4" customFormat="1" x14ac:dyDescent="0.35">
      <c r="A1" s="3"/>
      <c r="B1" s="3"/>
      <c r="C1" s="3"/>
      <c r="D1" s="3"/>
      <c r="E1" s="3"/>
      <c r="F1" s="3"/>
      <c r="G1" s="12"/>
      <c r="H1" s="3"/>
      <c r="I1" s="18"/>
      <c r="J1" s="18"/>
      <c r="K1" s="18"/>
      <c r="L1" s="3"/>
      <c r="M1" s="3"/>
    </row>
    <row r="2" spans="1:13" s="4" customFormat="1" x14ac:dyDescent="0.35">
      <c r="A2" s="3"/>
      <c r="B2" s="3"/>
      <c r="C2" s="3"/>
      <c r="D2" s="3"/>
      <c r="E2" s="3"/>
      <c r="F2" s="3"/>
      <c r="G2" s="12"/>
      <c r="H2" s="3"/>
      <c r="I2" s="18"/>
      <c r="J2" s="18"/>
      <c r="K2" s="18"/>
      <c r="L2" s="3"/>
      <c r="M2" s="3"/>
    </row>
    <row r="3" spans="1:13" s="4" customFormat="1" ht="20" customHeight="1" x14ac:dyDescent="0.35">
      <c r="A3" s="3"/>
      <c r="B3" s="5"/>
      <c r="C3" s="81" t="s">
        <v>137</v>
      </c>
      <c r="D3" s="81"/>
      <c r="E3" s="5"/>
      <c r="F3" s="5"/>
      <c r="G3" s="13"/>
      <c r="H3" s="5"/>
      <c r="I3" s="19"/>
      <c r="J3" s="19"/>
      <c r="K3" s="19"/>
      <c r="L3" s="5"/>
      <c r="M3" s="3"/>
    </row>
    <row r="4" spans="1:13" s="4" customFormat="1" ht="20" customHeight="1" x14ac:dyDescent="0.35">
      <c r="A4" s="3"/>
      <c r="B4" s="5"/>
      <c r="C4" s="82" t="s">
        <v>246</v>
      </c>
      <c r="D4" s="82"/>
      <c r="E4" s="82"/>
      <c r="F4" s="82"/>
      <c r="G4" s="82"/>
      <c r="H4" s="5"/>
      <c r="I4" s="19"/>
      <c r="J4" s="19"/>
      <c r="K4" s="19"/>
      <c r="L4" s="5"/>
      <c r="M4" s="3"/>
    </row>
    <row r="5" spans="1:13" x14ac:dyDescent="0.35">
      <c r="B5" s="5"/>
      <c r="C5" s="5"/>
      <c r="D5" s="5"/>
      <c r="E5" s="5"/>
      <c r="F5" s="5"/>
      <c r="G5" s="13"/>
      <c r="H5" s="5"/>
      <c r="I5" s="19"/>
      <c r="J5" s="19"/>
      <c r="K5" s="19"/>
      <c r="L5" s="5"/>
    </row>
    <row r="6" spans="1:13" ht="15" thickBot="1" x14ac:dyDescent="0.4">
      <c r="B6" s="5"/>
      <c r="C6" s="9" t="s">
        <v>133</v>
      </c>
      <c r="D6" s="9" t="s">
        <v>16</v>
      </c>
      <c r="E6" s="9" t="s">
        <v>0</v>
      </c>
      <c r="F6" s="9" t="s">
        <v>134</v>
      </c>
      <c r="G6" s="9" t="s">
        <v>2</v>
      </c>
      <c r="H6" s="9" t="s">
        <v>7</v>
      </c>
      <c r="I6" s="16" t="s">
        <v>138</v>
      </c>
      <c r="J6" s="9" t="s">
        <v>136</v>
      </c>
      <c r="K6" s="16" t="s">
        <v>6</v>
      </c>
      <c r="L6" s="5"/>
    </row>
    <row r="7" spans="1:13" ht="15" thickBot="1" x14ac:dyDescent="0.4">
      <c r="B7" s="5"/>
      <c r="C7" s="39">
        <v>24</v>
      </c>
      <c r="D7" s="36">
        <v>46112</v>
      </c>
      <c r="E7" s="35" t="s">
        <v>161</v>
      </c>
      <c r="F7" s="35" t="s">
        <v>34</v>
      </c>
      <c r="G7" s="35" t="s">
        <v>27</v>
      </c>
      <c r="H7" s="39" t="s">
        <v>13</v>
      </c>
      <c r="I7" s="42">
        <v>20000</v>
      </c>
      <c r="J7" s="44">
        <v>39</v>
      </c>
      <c r="K7" s="42">
        <f>ListeS[[#This Row],[Prix de vente]]*ListeS[[#This Row],[Quantité]]</f>
        <v>780000</v>
      </c>
      <c r="L7" s="5"/>
    </row>
    <row r="8" spans="1:13" ht="15" thickBot="1" x14ac:dyDescent="0.4">
      <c r="B8" s="5"/>
      <c r="C8" s="39">
        <v>23</v>
      </c>
      <c r="D8" s="36">
        <v>46112</v>
      </c>
      <c r="E8" s="35" t="s">
        <v>242</v>
      </c>
      <c r="F8" s="35" t="s">
        <v>130</v>
      </c>
      <c r="G8" s="35" t="s">
        <v>124</v>
      </c>
      <c r="H8" s="39" t="s">
        <v>13</v>
      </c>
      <c r="I8" s="42">
        <v>80000</v>
      </c>
      <c r="J8" s="44">
        <v>2</v>
      </c>
      <c r="K8" s="42">
        <f>ListeS[[#This Row],[Prix de vente]]*ListeS[[#This Row],[Quantité]]</f>
        <v>160000</v>
      </c>
      <c r="L8" s="5"/>
    </row>
    <row r="9" spans="1:13" ht="15" thickBot="1" x14ac:dyDescent="0.4">
      <c r="B9" s="5"/>
      <c r="C9" s="39">
        <v>22</v>
      </c>
      <c r="D9" s="36">
        <v>46112</v>
      </c>
      <c r="E9" s="35" t="s">
        <v>197</v>
      </c>
      <c r="F9" s="35" t="s">
        <v>76</v>
      </c>
      <c r="G9" s="35" t="s">
        <v>72</v>
      </c>
      <c r="H9" s="39" t="s">
        <v>13</v>
      </c>
      <c r="I9" s="42">
        <v>2500</v>
      </c>
      <c r="J9" s="44">
        <v>30</v>
      </c>
      <c r="K9" s="42">
        <f>ListeS[[#This Row],[Prix de vente]]*ListeS[[#This Row],[Quantité]]</f>
        <v>75000</v>
      </c>
      <c r="L9" s="5"/>
    </row>
    <row r="10" spans="1:13" ht="15" thickBot="1" x14ac:dyDescent="0.4">
      <c r="B10" s="5"/>
      <c r="C10" s="39">
        <v>21</v>
      </c>
      <c r="D10" s="36">
        <v>46112</v>
      </c>
      <c r="E10" s="35" t="s">
        <v>180</v>
      </c>
      <c r="F10" s="35" t="s">
        <v>55</v>
      </c>
      <c r="G10" s="35" t="s">
        <v>53</v>
      </c>
      <c r="H10" s="39" t="s">
        <v>13</v>
      </c>
      <c r="I10" s="42">
        <v>20000</v>
      </c>
      <c r="J10" s="44">
        <v>20</v>
      </c>
      <c r="K10" s="42">
        <f>ListeS[[#This Row],[Prix de vente]]*ListeS[[#This Row],[Quantité]]</f>
        <v>400000</v>
      </c>
      <c r="L10" s="5"/>
    </row>
    <row r="11" spans="1:13" ht="15" thickBot="1" x14ac:dyDescent="0.4">
      <c r="B11" s="5"/>
      <c r="C11" s="39">
        <v>20</v>
      </c>
      <c r="D11" s="36">
        <v>46112</v>
      </c>
      <c r="E11" s="35" t="s">
        <v>187</v>
      </c>
      <c r="F11" s="35" t="s">
        <v>64</v>
      </c>
      <c r="G11" s="35" t="s">
        <v>63</v>
      </c>
      <c r="H11" s="39" t="s">
        <v>13</v>
      </c>
      <c r="I11" s="42">
        <v>300000</v>
      </c>
      <c r="J11" s="44">
        <v>10</v>
      </c>
      <c r="K11" s="42">
        <f>ListeS[[#This Row],[Prix de vente]]*ListeS[[#This Row],[Quantité]]</f>
        <v>3000000</v>
      </c>
      <c r="L11" s="5"/>
    </row>
    <row r="12" spans="1:13" ht="15" thickBot="1" x14ac:dyDescent="0.4">
      <c r="B12" s="5"/>
      <c r="C12" s="39">
        <v>19</v>
      </c>
      <c r="D12" s="36">
        <v>46112</v>
      </c>
      <c r="E12" s="35" t="s">
        <v>157</v>
      </c>
      <c r="F12" s="35" t="s">
        <v>30</v>
      </c>
      <c r="G12" s="35" t="s">
        <v>27</v>
      </c>
      <c r="H12" s="39" t="s">
        <v>13</v>
      </c>
      <c r="I12" s="42">
        <v>3000</v>
      </c>
      <c r="J12" s="44">
        <v>9</v>
      </c>
      <c r="K12" s="42">
        <f>ListeS[[#This Row],[Prix de vente]]*ListeS[[#This Row],[Quantité]]</f>
        <v>27000</v>
      </c>
      <c r="L12" s="5"/>
    </row>
    <row r="13" spans="1:13" ht="15" thickBot="1" x14ac:dyDescent="0.4">
      <c r="B13" s="5"/>
      <c r="C13" s="39">
        <v>18</v>
      </c>
      <c r="D13" s="36">
        <v>46111</v>
      </c>
      <c r="E13" s="35" t="s">
        <v>153</v>
      </c>
      <c r="F13" s="35" t="s">
        <v>25</v>
      </c>
      <c r="G13" s="35" t="s">
        <v>12</v>
      </c>
      <c r="H13" s="39" t="s">
        <v>13</v>
      </c>
      <c r="I13" s="42">
        <v>150000</v>
      </c>
      <c r="J13" s="44">
        <v>40</v>
      </c>
      <c r="K13" s="42">
        <f>ListeS[[#This Row],[Prix de vente]]*ListeS[[#This Row],[Quantité]]</f>
        <v>6000000</v>
      </c>
      <c r="L13" s="5"/>
    </row>
    <row r="14" spans="1:13" ht="15" thickBot="1" x14ac:dyDescent="0.4">
      <c r="B14" s="5"/>
      <c r="C14" s="39">
        <v>17</v>
      </c>
      <c r="D14" s="36">
        <v>46111</v>
      </c>
      <c r="E14" s="35" t="s">
        <v>152</v>
      </c>
      <c r="F14" s="35" t="s">
        <v>24</v>
      </c>
      <c r="G14" s="35" t="s">
        <v>12</v>
      </c>
      <c r="H14" s="39" t="s">
        <v>13</v>
      </c>
      <c r="I14" s="42">
        <v>750000</v>
      </c>
      <c r="J14" s="44">
        <v>4</v>
      </c>
      <c r="K14" s="42">
        <f>ListeS[[#This Row],[Prix de vente]]*ListeS[[#This Row],[Quantité]]</f>
        <v>3000000</v>
      </c>
      <c r="L14" s="5"/>
    </row>
    <row r="15" spans="1:13" ht="15" thickBot="1" x14ac:dyDescent="0.4">
      <c r="B15" s="5"/>
      <c r="C15" s="39">
        <v>16</v>
      </c>
      <c r="D15" s="36">
        <v>46111</v>
      </c>
      <c r="E15" s="35" t="s">
        <v>152</v>
      </c>
      <c r="F15" s="35" t="s">
        <v>24</v>
      </c>
      <c r="G15" s="35" t="s">
        <v>12</v>
      </c>
      <c r="H15" s="39" t="s">
        <v>13</v>
      </c>
      <c r="I15" s="42">
        <v>750000</v>
      </c>
      <c r="J15" s="44">
        <v>7</v>
      </c>
      <c r="K15" s="42">
        <f>ListeS[[#This Row],[Prix de vente]]*ListeS[[#This Row],[Quantité]]</f>
        <v>5250000</v>
      </c>
      <c r="L15" s="5"/>
    </row>
    <row r="16" spans="1:13" ht="15" thickBot="1" x14ac:dyDescent="0.4">
      <c r="B16" s="5"/>
      <c r="C16" s="39">
        <v>15</v>
      </c>
      <c r="D16" s="36">
        <v>46111</v>
      </c>
      <c r="E16" s="35" t="s">
        <v>151</v>
      </c>
      <c r="F16" s="35" t="s">
        <v>23</v>
      </c>
      <c r="G16" s="35" t="s">
        <v>12</v>
      </c>
      <c r="H16" s="39" t="s">
        <v>13</v>
      </c>
      <c r="I16" s="42">
        <v>650000</v>
      </c>
      <c r="J16" s="44">
        <v>20</v>
      </c>
      <c r="K16" s="42">
        <f>ListeS[[#This Row],[Prix de vente]]*ListeS[[#This Row],[Quantité]]</f>
        <v>13000000</v>
      </c>
      <c r="L16" s="5"/>
    </row>
    <row r="17" spans="2:12" ht="15" thickBot="1" x14ac:dyDescent="0.4">
      <c r="B17" s="5"/>
      <c r="C17" s="39">
        <v>14</v>
      </c>
      <c r="D17" s="36">
        <v>46111</v>
      </c>
      <c r="E17" s="35" t="s">
        <v>147</v>
      </c>
      <c r="F17" s="35" t="s">
        <v>19</v>
      </c>
      <c r="G17" s="35" t="s">
        <v>12</v>
      </c>
      <c r="H17" s="39" t="s">
        <v>13</v>
      </c>
      <c r="I17" s="42">
        <v>550000</v>
      </c>
      <c r="J17" s="44">
        <v>32</v>
      </c>
      <c r="K17" s="42">
        <f>ListeS[[#This Row],[Prix de vente]]*ListeS[[#This Row],[Quantité]]</f>
        <v>17600000</v>
      </c>
      <c r="L17" s="5"/>
    </row>
    <row r="18" spans="2:12" ht="15" thickBot="1" x14ac:dyDescent="0.4">
      <c r="B18" s="5"/>
      <c r="C18" s="39">
        <v>13</v>
      </c>
      <c r="D18" s="36">
        <v>46111</v>
      </c>
      <c r="E18" s="35" t="s">
        <v>145</v>
      </c>
      <c r="F18" s="35" t="s">
        <v>14</v>
      </c>
      <c r="G18" s="35" t="s">
        <v>12</v>
      </c>
      <c r="H18" s="39" t="s">
        <v>13</v>
      </c>
      <c r="I18" s="42">
        <v>250000</v>
      </c>
      <c r="J18" s="44">
        <v>100</v>
      </c>
      <c r="K18" s="42">
        <f>ListeS[[#This Row],[Prix de vente]]*ListeS[[#This Row],[Quantité]]</f>
        <v>25000000</v>
      </c>
      <c r="L18" s="5"/>
    </row>
    <row r="19" spans="2:12" ht="15" thickBot="1" x14ac:dyDescent="0.4">
      <c r="B19" s="5"/>
      <c r="C19" s="39">
        <v>12</v>
      </c>
      <c r="D19" s="36">
        <v>46111</v>
      </c>
      <c r="E19" s="35" t="s">
        <v>235</v>
      </c>
      <c r="F19" s="35" t="s">
        <v>122</v>
      </c>
      <c r="G19" s="35" t="s">
        <v>60</v>
      </c>
      <c r="H19" s="39" t="s">
        <v>13</v>
      </c>
      <c r="I19" s="42">
        <v>150000</v>
      </c>
      <c r="J19" s="44">
        <v>6</v>
      </c>
      <c r="K19" s="42">
        <f>ListeS[[#This Row],[Prix de vente]]*ListeS[[#This Row],[Quantité]]</f>
        <v>900000</v>
      </c>
      <c r="L19" s="5"/>
    </row>
    <row r="20" spans="2:12" ht="15" thickBot="1" x14ac:dyDescent="0.4">
      <c r="B20" s="5"/>
      <c r="C20" s="39">
        <v>11</v>
      </c>
      <c r="D20" s="36">
        <v>46111</v>
      </c>
      <c r="E20" s="35" t="s">
        <v>178</v>
      </c>
      <c r="F20" s="35" t="s">
        <v>52</v>
      </c>
      <c r="G20" s="35" t="s">
        <v>53</v>
      </c>
      <c r="H20" s="39" t="s">
        <v>13</v>
      </c>
      <c r="I20" s="42">
        <v>25000</v>
      </c>
      <c r="J20" s="44">
        <v>21</v>
      </c>
      <c r="K20" s="42">
        <f>ListeS[[#This Row],[Prix de vente]]*ListeS[[#This Row],[Quantité]]</f>
        <v>525000</v>
      </c>
      <c r="L20" s="5"/>
    </row>
    <row r="21" spans="2:12" ht="15" thickBot="1" x14ac:dyDescent="0.4">
      <c r="B21" s="5"/>
      <c r="C21" s="39">
        <v>10</v>
      </c>
      <c r="D21" s="36">
        <v>46111</v>
      </c>
      <c r="E21" s="35" t="s">
        <v>143</v>
      </c>
      <c r="F21" s="35" t="s">
        <v>11</v>
      </c>
      <c r="G21" s="35" t="s">
        <v>12</v>
      </c>
      <c r="H21" s="39" t="s">
        <v>13</v>
      </c>
      <c r="I21" s="42">
        <v>500000</v>
      </c>
      <c r="J21" s="44">
        <v>12</v>
      </c>
      <c r="K21" s="42">
        <f>ListeS[[#This Row],[Prix de vente]]*ListeS[[#This Row],[Quantité]]</f>
        <v>6000000</v>
      </c>
      <c r="L21" s="5"/>
    </row>
    <row r="22" spans="2:12" ht="15" thickBot="1" x14ac:dyDescent="0.4">
      <c r="B22" s="5"/>
      <c r="C22" s="39">
        <v>9</v>
      </c>
      <c r="D22" s="36">
        <v>46142</v>
      </c>
      <c r="E22" s="35" t="s">
        <v>153</v>
      </c>
      <c r="F22" s="35" t="s">
        <v>25</v>
      </c>
      <c r="G22" s="35" t="s">
        <v>12</v>
      </c>
      <c r="H22" s="39" t="s">
        <v>13</v>
      </c>
      <c r="I22" s="42">
        <v>150000</v>
      </c>
      <c r="J22" s="44">
        <v>8</v>
      </c>
      <c r="K22" s="42">
        <f>ListeS[[#This Row],[Prix de vente]]*ListeS[[#This Row],[Quantité]]</f>
        <v>1200000</v>
      </c>
      <c r="L22" s="5"/>
    </row>
    <row r="23" spans="2:12" ht="15" thickBot="1" x14ac:dyDescent="0.4">
      <c r="B23" s="5"/>
      <c r="C23" s="39">
        <v>8</v>
      </c>
      <c r="D23" s="36">
        <v>46138</v>
      </c>
      <c r="E23" s="35" t="s">
        <v>142</v>
      </c>
      <c r="F23" s="35" t="s">
        <v>14</v>
      </c>
      <c r="G23" s="35" t="s">
        <v>12</v>
      </c>
      <c r="H23" s="39" t="s">
        <v>15</v>
      </c>
      <c r="I23" s="42">
        <v>250000</v>
      </c>
      <c r="J23" s="44">
        <v>100</v>
      </c>
      <c r="K23" s="42">
        <f>ListeS[[#This Row],[Prix de vente]]*ListeS[[#This Row],[Quantité]]</f>
        <v>25000000</v>
      </c>
      <c r="L23" s="5"/>
    </row>
    <row r="24" spans="2:12" ht="15" thickBot="1" x14ac:dyDescent="0.4">
      <c r="B24" s="5"/>
      <c r="C24" s="39">
        <v>7</v>
      </c>
      <c r="D24" s="36">
        <v>46138</v>
      </c>
      <c r="E24" s="35" t="s">
        <v>144</v>
      </c>
      <c r="F24" s="35" t="s">
        <v>17</v>
      </c>
      <c r="G24" s="35" t="s">
        <v>12</v>
      </c>
      <c r="H24" s="39" t="s">
        <v>13</v>
      </c>
      <c r="I24" s="42">
        <v>180000</v>
      </c>
      <c r="J24" s="44">
        <v>50</v>
      </c>
      <c r="K24" s="42">
        <f>ListeS[[#This Row],[Prix de vente]]*ListeS[[#This Row],[Quantité]]</f>
        <v>9000000</v>
      </c>
      <c r="L24" s="5"/>
    </row>
    <row r="25" spans="2:12" ht="15" thickBot="1" x14ac:dyDescent="0.4">
      <c r="B25" s="5"/>
      <c r="C25" s="39">
        <v>6</v>
      </c>
      <c r="D25" s="36">
        <v>46168</v>
      </c>
      <c r="E25" s="35" t="s">
        <v>142</v>
      </c>
      <c r="F25" s="35" t="s">
        <v>14</v>
      </c>
      <c r="G25" s="35" t="s">
        <v>12</v>
      </c>
      <c r="H25" s="39" t="s">
        <v>15</v>
      </c>
      <c r="I25" s="42">
        <v>250000</v>
      </c>
      <c r="J25" s="44">
        <v>10</v>
      </c>
      <c r="K25" s="42">
        <f>ListeS[[#This Row],[Prix de vente]]*ListeS[[#This Row],[Quantité]]</f>
        <v>2500000</v>
      </c>
      <c r="L25" s="5"/>
    </row>
    <row r="26" spans="2:12" ht="15" thickBot="1" x14ac:dyDescent="0.4">
      <c r="B26" s="5"/>
      <c r="C26" s="39">
        <v>5</v>
      </c>
      <c r="D26" s="36">
        <v>46168</v>
      </c>
      <c r="E26" s="35" t="s">
        <v>143</v>
      </c>
      <c r="F26" s="35" t="s">
        <v>11</v>
      </c>
      <c r="G26" s="35" t="s">
        <v>12</v>
      </c>
      <c r="H26" s="39" t="s">
        <v>13</v>
      </c>
      <c r="I26" s="42">
        <v>500000</v>
      </c>
      <c r="J26" s="44">
        <v>13</v>
      </c>
      <c r="K26" s="42">
        <f>ListeS[[#This Row],[Prix de vente]]*ListeS[[#This Row],[Quantité]]</f>
        <v>6500000</v>
      </c>
      <c r="L26" s="5"/>
    </row>
    <row r="27" spans="2:12" ht="15" thickBot="1" x14ac:dyDescent="0.4">
      <c r="B27" s="5"/>
      <c r="C27" s="39">
        <v>4</v>
      </c>
      <c r="D27" s="36">
        <v>46199</v>
      </c>
      <c r="E27" s="35" t="s">
        <v>142</v>
      </c>
      <c r="F27" s="35" t="s">
        <v>14</v>
      </c>
      <c r="G27" s="35" t="s">
        <v>12</v>
      </c>
      <c r="H27" s="39" t="s">
        <v>15</v>
      </c>
      <c r="I27" s="42">
        <v>250000</v>
      </c>
      <c r="J27" s="44">
        <v>55</v>
      </c>
      <c r="K27" s="42">
        <f>ListeS[[#This Row],[Prix de vente]]*ListeS[[#This Row],[Quantité]]</f>
        <v>13750000</v>
      </c>
      <c r="L27" s="5"/>
    </row>
    <row r="28" spans="2:12" ht="15" thickBot="1" x14ac:dyDescent="0.4">
      <c r="B28" s="5"/>
      <c r="C28" s="39">
        <v>3</v>
      </c>
      <c r="D28" s="36">
        <v>46197</v>
      </c>
      <c r="E28" s="35" t="s">
        <v>145</v>
      </c>
      <c r="F28" s="35" t="s">
        <v>14</v>
      </c>
      <c r="G28" s="35" t="s">
        <v>12</v>
      </c>
      <c r="H28" s="39" t="s">
        <v>13</v>
      </c>
      <c r="I28" s="42">
        <v>250000</v>
      </c>
      <c r="J28" s="44">
        <v>10</v>
      </c>
      <c r="K28" s="42">
        <f>ListeS[[#This Row],[Prix de vente]]*ListeS[[#This Row],[Quantité]]</f>
        <v>2500000</v>
      </c>
      <c r="L28" s="5"/>
    </row>
    <row r="29" spans="2:12" ht="15" thickBot="1" x14ac:dyDescent="0.4">
      <c r="B29" s="5"/>
      <c r="C29" s="2">
        <v>2</v>
      </c>
      <c r="D29" s="34">
        <v>46227</v>
      </c>
      <c r="E29" s="32" t="s">
        <v>145</v>
      </c>
      <c r="F29" s="32" t="s">
        <v>14</v>
      </c>
      <c r="G29" s="32" t="s">
        <v>12</v>
      </c>
      <c r="H29" s="2" t="s">
        <v>13</v>
      </c>
      <c r="I29" s="33">
        <v>250000</v>
      </c>
      <c r="J29" s="41">
        <v>10</v>
      </c>
      <c r="K29" s="43">
        <f>ListeS[[#This Row],[Prix de vente]]*ListeS[[#This Row],[Quantité]]</f>
        <v>2500000</v>
      </c>
      <c r="L29" s="5"/>
    </row>
    <row r="30" spans="2:12" ht="15" thickBot="1" x14ac:dyDescent="0.4">
      <c r="B30" s="5"/>
      <c r="C30" s="2">
        <v>1</v>
      </c>
      <c r="D30" s="34">
        <v>46227</v>
      </c>
      <c r="E30" s="32" t="s">
        <v>145</v>
      </c>
      <c r="F30" s="32" t="s">
        <v>14</v>
      </c>
      <c r="G30" s="32" t="s">
        <v>12</v>
      </c>
      <c r="H30" s="2" t="s">
        <v>13</v>
      </c>
      <c r="I30" s="1">
        <v>250000</v>
      </c>
      <c r="J30" s="41">
        <v>15</v>
      </c>
      <c r="K30" s="24">
        <f>ListeS[[#This Row],[Prix de vente]]*ListeS[[#This Row],[Quantité]]</f>
        <v>3750000</v>
      </c>
      <c r="L30" s="5"/>
    </row>
    <row r="31" spans="2:12" x14ac:dyDescent="0.35">
      <c r="B31" s="5"/>
      <c r="C31" s="5"/>
      <c r="D31" s="5"/>
      <c r="E31" s="5"/>
      <c r="F31" s="5"/>
      <c r="G31" s="13"/>
      <c r="H31" s="5"/>
      <c r="I31" s="19"/>
      <c r="J31" s="19"/>
      <c r="K31" s="19"/>
      <c r="L31" s="5"/>
    </row>
    <row r="32" spans="2:12" x14ac:dyDescent="0.35">
      <c r="B32" s="5"/>
      <c r="C32" s="5"/>
      <c r="D32" s="5"/>
      <c r="E32" s="5"/>
      <c r="F32" s="5"/>
      <c r="G32" s="13"/>
      <c r="H32" s="5"/>
      <c r="I32" s="19"/>
      <c r="J32" s="19"/>
      <c r="K32" s="19"/>
      <c r="L32" s="5"/>
    </row>
  </sheetData>
  <mergeCells count="2">
    <mergeCell ref="C3:D3"/>
    <mergeCell ref="C4:G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C79AB-911C-4C4E-8265-44B8ADA16994}">
  <sheetPr codeName="Feuil1"/>
  <dimension ref="A1:L118"/>
  <sheetViews>
    <sheetView showGridLines="0" zoomScale="96" zoomScaleNormal="100" workbookViewId="0">
      <selection activeCell="D16" sqref="D16"/>
    </sheetView>
  </sheetViews>
  <sheetFormatPr baseColWidth="10" defaultRowHeight="14.5" x14ac:dyDescent="0.35"/>
  <cols>
    <col min="1" max="1" width="12.54296875" style="6" customWidth="1"/>
    <col min="2" max="2" width="4.36328125" style="6" customWidth="1"/>
    <col min="3" max="3" width="14.26953125" style="6" customWidth="1"/>
    <col min="4" max="4" width="29.81640625" style="6" customWidth="1"/>
    <col min="5" max="5" width="14.6328125" style="6" customWidth="1"/>
    <col min="6" max="6" width="13.90625" style="6" customWidth="1"/>
    <col min="7" max="7" width="14.36328125" style="17" customWidth="1"/>
    <col min="8" max="8" width="22.26953125" style="6" customWidth="1"/>
    <col min="9" max="9" width="19.08984375" style="21" customWidth="1"/>
    <col min="10" max="10" width="21.1796875" style="21" customWidth="1"/>
    <col min="11" max="11" width="4.08984375" style="6" customWidth="1"/>
    <col min="12" max="16384" width="10.90625" style="6"/>
  </cols>
  <sheetData>
    <row r="1" spans="1:12" s="4" customFormat="1" x14ac:dyDescent="0.35">
      <c r="A1" s="3"/>
      <c r="B1" s="3"/>
      <c r="C1" s="3"/>
      <c r="D1" s="3"/>
      <c r="E1" s="3"/>
      <c r="F1" s="3"/>
      <c r="G1" s="12"/>
      <c r="H1" s="3"/>
      <c r="I1" s="18"/>
      <c r="J1" s="18"/>
      <c r="K1" s="3"/>
      <c r="L1" s="3"/>
    </row>
    <row r="2" spans="1:12" s="4" customFormat="1" x14ac:dyDescent="0.35">
      <c r="A2" s="3"/>
      <c r="B2" s="3"/>
      <c r="C2" s="3"/>
      <c r="D2" s="3"/>
      <c r="E2" s="3"/>
      <c r="F2" s="3"/>
      <c r="G2" s="12"/>
      <c r="H2" s="3"/>
      <c r="I2" s="18"/>
      <c r="J2" s="18"/>
      <c r="K2" s="3"/>
      <c r="L2" s="3"/>
    </row>
    <row r="3" spans="1:12" s="4" customFormat="1" ht="20" customHeight="1" x14ac:dyDescent="0.35">
      <c r="A3" s="3"/>
      <c r="B3" s="5"/>
      <c r="C3" s="81" t="s">
        <v>9</v>
      </c>
      <c r="D3" s="81"/>
      <c r="E3" s="5"/>
      <c r="F3" s="5"/>
      <c r="G3" s="13"/>
      <c r="H3" s="5"/>
      <c r="I3" s="19"/>
      <c r="J3" s="19"/>
      <c r="K3" s="5"/>
      <c r="L3" s="3"/>
    </row>
    <row r="4" spans="1:12" x14ac:dyDescent="0.35">
      <c r="B4" s="5"/>
      <c r="C4" s="82" t="s">
        <v>247</v>
      </c>
      <c r="D4" s="82"/>
      <c r="E4" s="82"/>
      <c r="F4" s="82"/>
      <c r="G4" s="82"/>
      <c r="H4" s="5"/>
      <c r="I4" s="19"/>
      <c r="J4" s="19"/>
      <c r="K4" s="5"/>
    </row>
    <row r="5" spans="1:12" x14ac:dyDescent="0.35">
      <c r="B5" s="5"/>
      <c r="C5" s="5" t="s">
        <v>8</v>
      </c>
      <c r="D5" s="5"/>
      <c r="E5" s="5"/>
      <c r="F5" s="5"/>
      <c r="G5" s="13"/>
      <c r="H5" s="5"/>
      <c r="I5" s="19"/>
      <c r="J5" s="19"/>
      <c r="K5" s="5"/>
    </row>
    <row r="6" spans="1:12" ht="15" thickBot="1" x14ac:dyDescent="0.4">
      <c r="B6" s="5"/>
      <c r="C6" s="5"/>
      <c r="D6" s="5"/>
      <c r="E6" s="5"/>
      <c r="F6" s="5"/>
      <c r="G6" s="13"/>
      <c r="H6" s="5"/>
      <c r="I6" s="19"/>
      <c r="J6" s="19"/>
      <c r="K6" s="5"/>
    </row>
    <row r="7" spans="1:12" ht="20.5" customHeight="1" thickTop="1" thickBot="1" x14ac:dyDescent="0.45">
      <c r="B7" s="5"/>
      <c r="C7" s="7" t="s">
        <v>0</v>
      </c>
      <c r="D7" s="26"/>
      <c r="E7" s="8"/>
      <c r="F7" s="5"/>
      <c r="G7" s="14" t="s">
        <v>3</v>
      </c>
      <c r="H7" s="27"/>
      <c r="I7" s="20"/>
      <c r="J7" s="22"/>
      <c r="K7" s="5"/>
    </row>
    <row r="8" spans="1:12" ht="20.5" customHeight="1" thickTop="1" thickBot="1" x14ac:dyDescent="0.45">
      <c r="B8" s="5"/>
      <c r="C8" s="7" t="s">
        <v>1</v>
      </c>
      <c r="D8" s="26"/>
      <c r="E8" s="8"/>
      <c r="F8" s="5"/>
      <c r="G8" s="14" t="s">
        <v>4</v>
      </c>
      <c r="H8" s="27"/>
      <c r="I8" s="20"/>
      <c r="J8" s="22"/>
      <c r="K8" s="5"/>
    </row>
    <row r="9" spans="1:12" ht="20.5" customHeight="1" thickTop="1" thickBot="1" x14ac:dyDescent="0.45">
      <c r="B9" s="5"/>
      <c r="C9" s="7" t="s">
        <v>2</v>
      </c>
      <c r="D9" s="26"/>
      <c r="E9" s="8"/>
      <c r="F9" s="5"/>
      <c r="G9" s="14" t="s">
        <v>5</v>
      </c>
      <c r="H9" s="25"/>
      <c r="I9" s="20"/>
      <c r="J9" s="23"/>
      <c r="K9" s="5"/>
    </row>
    <row r="10" spans="1:12" ht="20.5" customHeight="1" thickTop="1" thickBot="1" x14ac:dyDescent="0.45">
      <c r="B10" s="5"/>
      <c r="C10" s="7" t="s">
        <v>7</v>
      </c>
      <c r="D10" s="26"/>
      <c r="E10" s="8"/>
      <c r="F10" s="5"/>
      <c r="G10" s="14" t="s">
        <v>6</v>
      </c>
      <c r="H10" s="25">
        <f>$H$8*$H$9</f>
        <v>0</v>
      </c>
      <c r="I10" s="20"/>
      <c r="J10" s="23"/>
      <c r="K10" s="5"/>
    </row>
    <row r="11" spans="1:12" ht="15" thickTop="1" x14ac:dyDescent="0.35">
      <c r="B11" s="5"/>
      <c r="C11" s="5"/>
      <c r="D11" s="5"/>
      <c r="E11" s="5"/>
      <c r="F11" s="5"/>
      <c r="G11" s="15"/>
      <c r="H11" s="5"/>
      <c r="I11" s="19"/>
      <c r="J11" s="19"/>
      <c r="K11" s="5"/>
    </row>
    <row r="12" spans="1:12" x14ac:dyDescent="0.35">
      <c r="B12" s="5"/>
      <c r="C12" s="5"/>
      <c r="D12" s="5"/>
      <c r="E12" s="5"/>
      <c r="F12" s="5"/>
      <c r="G12" s="13"/>
      <c r="H12" s="5"/>
      <c r="I12" s="19"/>
      <c r="J12" s="19"/>
      <c r="K12" s="5"/>
    </row>
    <row r="13" spans="1:12" ht="17.5" x14ac:dyDescent="0.35">
      <c r="B13" s="5"/>
      <c r="C13" s="83" t="s">
        <v>10</v>
      </c>
      <c r="D13" s="83"/>
      <c r="E13" s="83"/>
      <c r="F13" s="83"/>
      <c r="G13" s="13"/>
      <c r="H13" s="5"/>
      <c r="I13" s="19"/>
      <c r="J13" s="19"/>
      <c r="K13" s="5"/>
    </row>
    <row r="14" spans="1:12" x14ac:dyDescent="0.35">
      <c r="B14" s="5"/>
      <c r="C14" s="5"/>
      <c r="D14" s="5"/>
      <c r="E14" s="5"/>
      <c r="F14" s="5"/>
      <c r="G14" s="13"/>
      <c r="H14" s="5"/>
      <c r="I14" s="19"/>
      <c r="J14" s="19"/>
      <c r="K14" s="5"/>
    </row>
    <row r="15" spans="1:12" ht="15" thickBot="1" x14ac:dyDescent="0.4">
      <c r="B15" s="5"/>
      <c r="C15" s="9" t="s">
        <v>0</v>
      </c>
      <c r="D15" s="9" t="s">
        <v>1</v>
      </c>
      <c r="E15" s="9" t="s">
        <v>2</v>
      </c>
      <c r="F15" s="9" t="s">
        <v>7</v>
      </c>
      <c r="G15" s="16" t="s">
        <v>3</v>
      </c>
      <c r="H15" s="9" t="s">
        <v>4</v>
      </c>
      <c r="I15" s="16" t="s">
        <v>5</v>
      </c>
      <c r="J15" s="16" t="s">
        <v>6</v>
      </c>
      <c r="K15" s="5"/>
    </row>
    <row r="16" spans="1:12" ht="15" thickBot="1" x14ac:dyDescent="0.4">
      <c r="B16" s="5"/>
      <c r="C16" s="10" t="s">
        <v>142</v>
      </c>
      <c r="D16" s="10" t="s">
        <v>282</v>
      </c>
      <c r="E16" s="10" t="s">
        <v>12</v>
      </c>
      <c r="F16" s="10" t="s">
        <v>15</v>
      </c>
      <c r="G16" s="11">
        <v>10</v>
      </c>
      <c r="H16" s="2">
        <v>50</v>
      </c>
      <c r="I16" s="1">
        <v>250000</v>
      </c>
      <c r="J16" s="24">
        <f>ListeM[[#This Row],[Stock initial]]*ListeM[[#This Row],[Prix unitaire]]</f>
        <v>12500000</v>
      </c>
      <c r="K16" s="5"/>
    </row>
    <row r="17" spans="2:11" ht="15" thickBot="1" x14ac:dyDescent="0.4">
      <c r="B17" s="5"/>
      <c r="C17" s="10" t="s">
        <v>143</v>
      </c>
      <c r="D17" s="10" t="s">
        <v>11</v>
      </c>
      <c r="E17" s="10" t="s">
        <v>12</v>
      </c>
      <c r="F17" s="10" t="s">
        <v>13</v>
      </c>
      <c r="G17" s="11">
        <v>5</v>
      </c>
      <c r="H17" s="2">
        <v>10</v>
      </c>
      <c r="I17" s="1">
        <v>500000</v>
      </c>
      <c r="J17" s="24">
        <f>ListeM[[#This Row],[Stock initial]]*ListeM[[#This Row],[Prix unitaire]]</f>
        <v>5000000</v>
      </c>
      <c r="K17" s="5"/>
    </row>
    <row r="18" spans="2:11" ht="15" thickBot="1" x14ac:dyDescent="0.4">
      <c r="B18" s="5"/>
      <c r="C18" s="10" t="s">
        <v>144</v>
      </c>
      <c r="D18" s="10" t="s">
        <v>17</v>
      </c>
      <c r="E18" s="10" t="s">
        <v>12</v>
      </c>
      <c r="F18" s="10" t="s">
        <v>13</v>
      </c>
      <c r="G18" s="11">
        <v>10</v>
      </c>
      <c r="H18" s="2">
        <v>40</v>
      </c>
      <c r="I18" s="1">
        <v>180000</v>
      </c>
      <c r="J18" s="24">
        <f>ListeM[[#This Row],[Stock initial]]*ListeM[[#This Row],[Prix unitaire]]</f>
        <v>7200000</v>
      </c>
      <c r="K18" s="5"/>
    </row>
    <row r="19" spans="2:11" ht="15" thickBot="1" x14ac:dyDescent="0.4">
      <c r="B19" s="5"/>
      <c r="C19" s="10" t="s">
        <v>145</v>
      </c>
      <c r="D19" s="10" t="s">
        <v>14</v>
      </c>
      <c r="E19" s="10" t="s">
        <v>12</v>
      </c>
      <c r="F19" s="10" t="s">
        <v>13</v>
      </c>
      <c r="G19" s="11">
        <v>10</v>
      </c>
      <c r="H19" s="2">
        <v>50</v>
      </c>
      <c r="I19" s="1">
        <v>250000</v>
      </c>
      <c r="J19" s="24">
        <f>ListeM[[#This Row],[Stock initial]]*ListeM[[#This Row],[Prix unitaire]]</f>
        <v>12500000</v>
      </c>
      <c r="K19" s="5"/>
    </row>
    <row r="20" spans="2:11" ht="15" thickBot="1" x14ac:dyDescent="0.4">
      <c r="B20" s="5"/>
      <c r="C20" s="10" t="s">
        <v>146</v>
      </c>
      <c r="D20" s="10" t="s">
        <v>18</v>
      </c>
      <c r="E20" s="10" t="s">
        <v>12</v>
      </c>
      <c r="F20" s="10" t="s">
        <v>13</v>
      </c>
      <c r="G20" s="11">
        <v>5</v>
      </c>
      <c r="H20" s="2">
        <v>30</v>
      </c>
      <c r="I20" s="1">
        <v>300000</v>
      </c>
      <c r="J20" s="24">
        <f>ListeM[[#This Row],[Stock initial]]*ListeM[[#This Row],[Prix unitaire]]</f>
        <v>9000000</v>
      </c>
      <c r="K20" s="5"/>
    </row>
    <row r="21" spans="2:11" ht="15" thickBot="1" x14ac:dyDescent="0.4">
      <c r="B21" s="5"/>
      <c r="C21" s="10" t="s">
        <v>147</v>
      </c>
      <c r="D21" s="10" t="s">
        <v>19</v>
      </c>
      <c r="E21" s="10" t="s">
        <v>12</v>
      </c>
      <c r="F21" s="10" t="s">
        <v>13</v>
      </c>
      <c r="G21" s="11">
        <v>5</v>
      </c>
      <c r="H21" s="2">
        <v>25</v>
      </c>
      <c r="I21" s="1">
        <v>550000</v>
      </c>
      <c r="J21" s="24">
        <f>ListeM[[#This Row],[Stock initial]]*ListeM[[#This Row],[Prix unitaire]]</f>
        <v>13750000</v>
      </c>
      <c r="K21" s="5"/>
    </row>
    <row r="22" spans="2:11" ht="15" thickBot="1" x14ac:dyDescent="0.4">
      <c r="B22" s="5"/>
      <c r="C22" s="10" t="s">
        <v>148</v>
      </c>
      <c r="D22" s="10" t="s">
        <v>20</v>
      </c>
      <c r="E22" s="10" t="s">
        <v>12</v>
      </c>
      <c r="F22" s="10" t="s">
        <v>13</v>
      </c>
      <c r="G22" s="11">
        <v>15</v>
      </c>
      <c r="H22" s="2">
        <v>60</v>
      </c>
      <c r="I22" s="1">
        <v>120000</v>
      </c>
      <c r="J22" s="24">
        <f>ListeM[[#This Row],[Stock initial]]*ListeM[[#This Row],[Prix unitaire]]</f>
        <v>7200000</v>
      </c>
      <c r="K22" s="5"/>
    </row>
    <row r="23" spans="2:11" ht="15" thickBot="1" x14ac:dyDescent="0.4">
      <c r="B23" s="5"/>
      <c r="C23" s="10" t="s">
        <v>149</v>
      </c>
      <c r="D23" s="10" t="s">
        <v>21</v>
      </c>
      <c r="E23" s="10" t="s">
        <v>12</v>
      </c>
      <c r="F23" s="10" t="s">
        <v>13</v>
      </c>
      <c r="G23" s="11">
        <v>15</v>
      </c>
      <c r="H23" s="2">
        <v>70</v>
      </c>
      <c r="I23" s="1">
        <v>110000</v>
      </c>
      <c r="J23" s="24">
        <f>ListeM[[#This Row],[Stock initial]]*ListeM[[#This Row],[Prix unitaire]]</f>
        <v>7700000</v>
      </c>
      <c r="K23" s="5"/>
    </row>
    <row r="24" spans="2:11" ht="15" thickBot="1" x14ac:dyDescent="0.4">
      <c r="B24" s="5"/>
      <c r="C24" s="10" t="s">
        <v>150</v>
      </c>
      <c r="D24" s="10" t="s">
        <v>22</v>
      </c>
      <c r="E24" s="10" t="s">
        <v>12</v>
      </c>
      <c r="F24" s="10" t="s">
        <v>13</v>
      </c>
      <c r="G24" s="11">
        <v>10</v>
      </c>
      <c r="H24" s="2">
        <v>45</v>
      </c>
      <c r="I24" s="1">
        <v>160000</v>
      </c>
      <c r="J24" s="24">
        <f>ListeM[[#This Row],[Stock initial]]*ListeM[[#This Row],[Prix unitaire]]</f>
        <v>7200000</v>
      </c>
      <c r="K24" s="5"/>
    </row>
    <row r="25" spans="2:11" ht="15" thickBot="1" x14ac:dyDescent="0.4">
      <c r="B25" s="5"/>
      <c r="C25" s="10" t="s">
        <v>151</v>
      </c>
      <c r="D25" s="10" t="s">
        <v>23</v>
      </c>
      <c r="E25" s="10" t="s">
        <v>12</v>
      </c>
      <c r="F25" s="10" t="s">
        <v>13</v>
      </c>
      <c r="G25" s="11">
        <v>5</v>
      </c>
      <c r="H25" s="2">
        <v>20</v>
      </c>
      <c r="I25" s="1">
        <v>650000</v>
      </c>
      <c r="J25" s="24">
        <f>ListeM[[#This Row],[Stock initial]]*ListeM[[#This Row],[Prix unitaire]]</f>
        <v>13000000</v>
      </c>
      <c r="K25" s="5"/>
    </row>
    <row r="26" spans="2:11" ht="15" thickBot="1" x14ac:dyDescent="0.4">
      <c r="B26" s="5"/>
      <c r="C26" s="10" t="s">
        <v>152</v>
      </c>
      <c r="D26" s="10" t="s">
        <v>24</v>
      </c>
      <c r="E26" s="10" t="s">
        <v>12</v>
      </c>
      <c r="F26" s="10" t="s">
        <v>13</v>
      </c>
      <c r="G26" s="11">
        <v>5</v>
      </c>
      <c r="H26" s="2">
        <v>15</v>
      </c>
      <c r="I26" s="1">
        <v>750000</v>
      </c>
      <c r="J26" s="24">
        <f>ListeM[[#This Row],[Stock initial]]*ListeM[[#This Row],[Prix unitaire]]</f>
        <v>11250000</v>
      </c>
      <c r="K26" s="5"/>
    </row>
    <row r="27" spans="2:11" ht="15" thickBot="1" x14ac:dyDescent="0.4">
      <c r="B27" s="5"/>
      <c r="C27" s="10" t="s">
        <v>153</v>
      </c>
      <c r="D27" s="10" t="s">
        <v>25</v>
      </c>
      <c r="E27" s="10" t="s">
        <v>12</v>
      </c>
      <c r="F27" s="10" t="s">
        <v>13</v>
      </c>
      <c r="G27" s="11">
        <v>10</v>
      </c>
      <c r="H27" s="2">
        <v>50</v>
      </c>
      <c r="I27" s="1">
        <v>150000</v>
      </c>
      <c r="J27" s="24">
        <f>ListeM[[#This Row],[Stock initial]]*ListeM[[#This Row],[Prix unitaire]]</f>
        <v>7500000</v>
      </c>
      <c r="K27" s="5"/>
    </row>
    <row r="28" spans="2:11" ht="15" thickBot="1" x14ac:dyDescent="0.4">
      <c r="B28" s="5"/>
      <c r="C28" s="10" t="s">
        <v>154</v>
      </c>
      <c r="D28" s="10" t="s">
        <v>26</v>
      </c>
      <c r="E28" s="10" t="s">
        <v>27</v>
      </c>
      <c r="F28" s="10" t="s">
        <v>13</v>
      </c>
      <c r="G28" s="11">
        <v>20</v>
      </c>
      <c r="H28" s="2">
        <v>100</v>
      </c>
      <c r="I28" s="1">
        <v>5000</v>
      </c>
      <c r="J28" s="24">
        <f>ListeM[[#This Row],[Stock initial]]*ListeM[[#This Row],[Prix unitaire]]</f>
        <v>500000</v>
      </c>
      <c r="K28" s="5"/>
    </row>
    <row r="29" spans="2:11" ht="15" thickBot="1" x14ac:dyDescent="0.4">
      <c r="B29" s="5"/>
      <c r="C29" s="10" t="s">
        <v>155</v>
      </c>
      <c r="D29" s="10" t="s">
        <v>28</v>
      </c>
      <c r="E29" s="10" t="s">
        <v>27</v>
      </c>
      <c r="F29" s="10" t="s">
        <v>13</v>
      </c>
      <c r="G29" s="11">
        <v>20</v>
      </c>
      <c r="H29" s="2">
        <v>90</v>
      </c>
      <c r="I29" s="1">
        <v>8000</v>
      </c>
      <c r="J29" s="24">
        <f>ListeM[[#This Row],[Stock initial]]*ListeM[[#This Row],[Prix unitaire]]</f>
        <v>720000</v>
      </c>
      <c r="K29" s="5"/>
    </row>
    <row r="30" spans="2:11" ht="15" thickBot="1" x14ac:dyDescent="0.4">
      <c r="B30" s="5"/>
      <c r="C30" s="10" t="s">
        <v>156</v>
      </c>
      <c r="D30" s="10" t="s">
        <v>29</v>
      </c>
      <c r="E30" s="10" t="s">
        <v>27</v>
      </c>
      <c r="F30" s="10" t="s">
        <v>13</v>
      </c>
      <c r="G30" s="11">
        <v>30</v>
      </c>
      <c r="H30" s="2">
        <v>150</v>
      </c>
      <c r="I30" s="1">
        <v>2000</v>
      </c>
      <c r="J30" s="24">
        <f>ListeM[[#This Row],[Stock initial]]*ListeM[[#This Row],[Prix unitaire]]</f>
        <v>300000</v>
      </c>
      <c r="K30" s="5"/>
    </row>
    <row r="31" spans="2:11" ht="15" thickBot="1" x14ac:dyDescent="0.4">
      <c r="B31" s="5"/>
      <c r="C31" s="10" t="s">
        <v>157</v>
      </c>
      <c r="D31" s="10" t="s">
        <v>30</v>
      </c>
      <c r="E31" s="10" t="s">
        <v>27</v>
      </c>
      <c r="F31" s="10" t="s">
        <v>13</v>
      </c>
      <c r="G31" s="11">
        <v>30</v>
      </c>
      <c r="H31" s="2">
        <v>120</v>
      </c>
      <c r="I31" s="1">
        <v>3000</v>
      </c>
      <c r="J31" s="24">
        <f>ListeM[[#This Row],[Stock initial]]*ListeM[[#This Row],[Prix unitaire]]</f>
        <v>360000</v>
      </c>
      <c r="K31" s="5"/>
    </row>
    <row r="32" spans="2:11" ht="15" thickBot="1" x14ac:dyDescent="0.4">
      <c r="B32" s="5"/>
      <c r="C32" s="10" t="s">
        <v>158</v>
      </c>
      <c r="D32" s="10" t="s">
        <v>31</v>
      </c>
      <c r="E32" s="10" t="s">
        <v>27</v>
      </c>
      <c r="F32" s="10" t="s">
        <v>13</v>
      </c>
      <c r="G32" s="11">
        <v>15</v>
      </c>
      <c r="H32" s="2">
        <v>80</v>
      </c>
      <c r="I32" s="1">
        <v>15000</v>
      </c>
      <c r="J32" s="24">
        <f>ListeM[[#This Row],[Stock initial]]*ListeM[[#This Row],[Prix unitaire]]</f>
        <v>1200000</v>
      </c>
      <c r="K32" s="5"/>
    </row>
    <row r="33" spans="2:11" ht="15" thickBot="1" x14ac:dyDescent="0.4">
      <c r="B33" s="5"/>
      <c r="C33" s="10" t="s">
        <v>159</v>
      </c>
      <c r="D33" s="10" t="s">
        <v>32</v>
      </c>
      <c r="E33" s="10" t="s">
        <v>27</v>
      </c>
      <c r="F33" s="10" t="s">
        <v>13</v>
      </c>
      <c r="G33" s="11">
        <v>10</v>
      </c>
      <c r="H33" s="2">
        <v>60</v>
      </c>
      <c r="I33" s="1">
        <v>20000</v>
      </c>
      <c r="J33" s="24">
        <f>ListeM[[#This Row],[Stock initial]]*ListeM[[#This Row],[Prix unitaire]]</f>
        <v>1200000</v>
      </c>
      <c r="K33" s="5"/>
    </row>
    <row r="34" spans="2:11" ht="15" thickBot="1" x14ac:dyDescent="0.4">
      <c r="B34" s="5"/>
      <c r="C34" s="10" t="s">
        <v>160</v>
      </c>
      <c r="D34" s="10" t="s">
        <v>33</v>
      </c>
      <c r="E34" s="10" t="s">
        <v>27</v>
      </c>
      <c r="F34" s="10" t="s">
        <v>13</v>
      </c>
      <c r="G34" s="11">
        <v>10</v>
      </c>
      <c r="H34" s="2">
        <v>70</v>
      </c>
      <c r="I34" s="1">
        <v>12000</v>
      </c>
      <c r="J34" s="24">
        <f>ListeM[[#This Row],[Stock initial]]*ListeM[[#This Row],[Prix unitaire]]</f>
        <v>840000</v>
      </c>
      <c r="K34" s="5"/>
    </row>
    <row r="35" spans="2:11" ht="15" thickBot="1" x14ac:dyDescent="0.4">
      <c r="B35" s="5"/>
      <c r="C35" s="10" t="s">
        <v>161</v>
      </c>
      <c r="D35" s="10" t="s">
        <v>34</v>
      </c>
      <c r="E35" s="10" t="s">
        <v>27</v>
      </c>
      <c r="F35" s="10" t="s">
        <v>13</v>
      </c>
      <c r="G35" s="11">
        <v>10</v>
      </c>
      <c r="H35" s="2">
        <v>50</v>
      </c>
      <c r="I35" s="1">
        <v>20000</v>
      </c>
      <c r="J35" s="24">
        <f>ListeM[[#This Row],[Stock initial]]*ListeM[[#This Row],[Prix unitaire]]</f>
        <v>1000000</v>
      </c>
      <c r="K35" s="5"/>
    </row>
    <row r="36" spans="2:11" ht="15" thickBot="1" x14ac:dyDescent="0.4">
      <c r="B36" s="5"/>
      <c r="C36" s="10" t="s">
        <v>162</v>
      </c>
      <c r="D36" s="10" t="s">
        <v>35</v>
      </c>
      <c r="E36" s="10" t="s">
        <v>27</v>
      </c>
      <c r="F36" s="10" t="s">
        <v>13</v>
      </c>
      <c r="G36" s="11">
        <v>25</v>
      </c>
      <c r="H36" s="2">
        <v>200</v>
      </c>
      <c r="I36" s="1">
        <v>3000</v>
      </c>
      <c r="J36" s="24">
        <f>ListeM[[#This Row],[Stock initial]]*ListeM[[#This Row],[Prix unitaire]]</f>
        <v>600000</v>
      </c>
      <c r="K36" s="5"/>
    </row>
    <row r="37" spans="2:11" ht="15" thickBot="1" x14ac:dyDescent="0.4">
      <c r="B37" s="5"/>
      <c r="C37" s="10" t="s">
        <v>163</v>
      </c>
      <c r="D37" s="10" t="s">
        <v>36</v>
      </c>
      <c r="E37" s="10" t="s">
        <v>27</v>
      </c>
      <c r="F37" s="10" t="s">
        <v>13</v>
      </c>
      <c r="G37" s="11">
        <v>25</v>
      </c>
      <c r="H37" s="2">
        <v>180</v>
      </c>
      <c r="I37" s="1">
        <v>2500</v>
      </c>
      <c r="J37" s="24">
        <f>ListeM[[#This Row],[Stock initial]]*ListeM[[#This Row],[Prix unitaire]]</f>
        <v>450000</v>
      </c>
      <c r="K37" s="5"/>
    </row>
    <row r="38" spans="2:11" ht="15" thickBot="1" x14ac:dyDescent="0.4">
      <c r="B38" s="5"/>
      <c r="C38" s="10" t="s">
        <v>164</v>
      </c>
      <c r="D38" s="10" t="s">
        <v>37</v>
      </c>
      <c r="E38" s="10" t="s">
        <v>38</v>
      </c>
      <c r="F38" s="10" t="s">
        <v>13</v>
      </c>
      <c r="G38" s="11">
        <v>10</v>
      </c>
      <c r="H38" s="2">
        <v>40</v>
      </c>
      <c r="I38" s="1">
        <v>10000</v>
      </c>
      <c r="J38" s="24">
        <f>ListeM[[#This Row],[Stock initial]]*ListeM[[#This Row],[Prix unitaire]]</f>
        <v>400000</v>
      </c>
      <c r="K38" s="5"/>
    </row>
    <row r="39" spans="2:11" ht="15" thickBot="1" x14ac:dyDescent="0.4">
      <c r="B39" s="5"/>
      <c r="C39" s="10" t="s">
        <v>165</v>
      </c>
      <c r="D39" s="10" t="s">
        <v>39</v>
      </c>
      <c r="E39" s="10" t="s">
        <v>38</v>
      </c>
      <c r="F39" s="10" t="s">
        <v>13</v>
      </c>
      <c r="G39" s="11">
        <v>15</v>
      </c>
      <c r="H39" s="2">
        <v>60</v>
      </c>
      <c r="I39" s="1">
        <v>5000</v>
      </c>
      <c r="J39" s="24">
        <f>ListeM[[#This Row],[Stock initial]]*ListeM[[#This Row],[Prix unitaire]]</f>
        <v>300000</v>
      </c>
      <c r="K39" s="5"/>
    </row>
    <row r="40" spans="2:11" ht="15" thickBot="1" x14ac:dyDescent="0.4">
      <c r="B40" s="5"/>
      <c r="C40" s="10" t="s">
        <v>166</v>
      </c>
      <c r="D40" s="10" t="s">
        <v>40</v>
      </c>
      <c r="E40" s="10" t="s">
        <v>38</v>
      </c>
      <c r="F40" s="10" t="s">
        <v>13</v>
      </c>
      <c r="G40" s="11">
        <v>5</v>
      </c>
      <c r="H40" s="2">
        <v>20</v>
      </c>
      <c r="I40" s="1">
        <v>80000</v>
      </c>
      <c r="J40" s="24">
        <f>ListeM[[#This Row],[Stock initial]]*ListeM[[#This Row],[Prix unitaire]]</f>
        <v>1600000</v>
      </c>
      <c r="K40" s="5"/>
    </row>
    <row r="41" spans="2:11" ht="15" thickBot="1" x14ac:dyDescent="0.4">
      <c r="B41" s="5"/>
      <c r="C41" s="10" t="s">
        <v>167</v>
      </c>
      <c r="D41" s="10" t="s">
        <v>41</v>
      </c>
      <c r="E41" s="10" t="s">
        <v>38</v>
      </c>
      <c r="F41" s="10" t="s">
        <v>13</v>
      </c>
      <c r="G41" s="11">
        <v>5</v>
      </c>
      <c r="H41" s="2">
        <v>15</v>
      </c>
      <c r="I41" s="1">
        <v>120000</v>
      </c>
      <c r="J41" s="24">
        <f>ListeM[[#This Row],[Stock initial]]*ListeM[[#This Row],[Prix unitaire]]</f>
        <v>1800000</v>
      </c>
      <c r="K41" s="5"/>
    </row>
    <row r="42" spans="2:11" ht="15" thickBot="1" x14ac:dyDescent="0.4">
      <c r="B42" s="5"/>
      <c r="C42" s="10" t="s">
        <v>168</v>
      </c>
      <c r="D42" s="10" t="s">
        <v>42</v>
      </c>
      <c r="E42" s="10" t="s">
        <v>38</v>
      </c>
      <c r="F42" s="10" t="s">
        <v>13</v>
      </c>
      <c r="G42" s="11">
        <v>5</v>
      </c>
      <c r="H42" s="2">
        <v>10</v>
      </c>
      <c r="I42" s="1">
        <v>350000</v>
      </c>
      <c r="J42" s="24">
        <f>ListeM[[#This Row],[Stock initial]]*ListeM[[#This Row],[Prix unitaire]]</f>
        <v>3500000</v>
      </c>
      <c r="K42" s="5"/>
    </row>
    <row r="43" spans="2:11" ht="15" thickBot="1" x14ac:dyDescent="0.4">
      <c r="B43" s="5"/>
      <c r="C43" s="10" t="s">
        <v>169</v>
      </c>
      <c r="D43" s="10" t="s">
        <v>43</v>
      </c>
      <c r="E43" s="10" t="s">
        <v>38</v>
      </c>
      <c r="F43" s="10" t="s">
        <v>13</v>
      </c>
      <c r="G43" s="11">
        <v>5</v>
      </c>
      <c r="H43" s="2">
        <v>12</v>
      </c>
      <c r="I43" s="1">
        <v>400000</v>
      </c>
      <c r="J43" s="24">
        <f>ListeM[[#This Row],[Stock initial]]*ListeM[[#This Row],[Prix unitaire]]</f>
        <v>4800000</v>
      </c>
      <c r="K43" s="5"/>
    </row>
    <row r="44" spans="2:11" ht="15" thickBot="1" x14ac:dyDescent="0.4">
      <c r="B44" s="5"/>
      <c r="C44" s="10" t="s">
        <v>170</v>
      </c>
      <c r="D44" s="10" t="s">
        <v>44</v>
      </c>
      <c r="E44" s="10" t="s">
        <v>38</v>
      </c>
      <c r="F44" s="10" t="s">
        <v>13</v>
      </c>
      <c r="G44" s="11">
        <v>5</v>
      </c>
      <c r="H44" s="2">
        <v>15</v>
      </c>
      <c r="I44" s="1">
        <v>90000</v>
      </c>
      <c r="J44" s="24">
        <f>ListeM[[#This Row],[Stock initial]]*ListeM[[#This Row],[Prix unitaire]]</f>
        <v>1350000</v>
      </c>
      <c r="K44" s="5"/>
    </row>
    <row r="45" spans="2:11" ht="15" thickBot="1" x14ac:dyDescent="0.4">
      <c r="B45" s="5"/>
      <c r="C45" s="10" t="s">
        <v>171</v>
      </c>
      <c r="D45" s="10" t="s">
        <v>45</v>
      </c>
      <c r="E45" s="10" t="s">
        <v>38</v>
      </c>
      <c r="F45" s="10" t="s">
        <v>13</v>
      </c>
      <c r="G45" s="11">
        <v>5</v>
      </c>
      <c r="H45" s="2">
        <v>18</v>
      </c>
      <c r="I45" s="1">
        <v>85000</v>
      </c>
      <c r="J45" s="24">
        <f>ListeM[[#This Row],[Stock initial]]*ListeM[[#This Row],[Prix unitaire]]</f>
        <v>1530000</v>
      </c>
      <c r="K45" s="5"/>
    </row>
    <row r="46" spans="2:11" ht="15" thickBot="1" x14ac:dyDescent="0.4">
      <c r="B46" s="5"/>
      <c r="C46" s="10" t="s">
        <v>172</v>
      </c>
      <c r="D46" s="10" t="s">
        <v>46</v>
      </c>
      <c r="E46" s="10" t="s">
        <v>38</v>
      </c>
      <c r="F46" s="10" t="s">
        <v>13</v>
      </c>
      <c r="G46" s="11">
        <v>20</v>
      </c>
      <c r="H46" s="2">
        <v>100</v>
      </c>
      <c r="I46" s="1">
        <v>5000</v>
      </c>
      <c r="J46" s="24">
        <f>ListeM[[#This Row],[Stock initial]]*ListeM[[#This Row],[Prix unitaire]]</f>
        <v>500000</v>
      </c>
      <c r="K46" s="5"/>
    </row>
    <row r="47" spans="2:11" ht="15" thickBot="1" x14ac:dyDescent="0.4">
      <c r="B47" s="5"/>
      <c r="C47" s="10" t="s">
        <v>173</v>
      </c>
      <c r="D47" s="10" t="s">
        <v>47</v>
      </c>
      <c r="E47" s="10" t="s">
        <v>38</v>
      </c>
      <c r="F47" s="10" t="s">
        <v>13</v>
      </c>
      <c r="G47" s="11">
        <v>20</v>
      </c>
      <c r="H47" s="2">
        <v>90</v>
      </c>
      <c r="I47" s="1">
        <v>8000</v>
      </c>
      <c r="J47" s="24">
        <f>ListeM[[#This Row],[Stock initial]]*ListeM[[#This Row],[Prix unitaire]]</f>
        <v>720000</v>
      </c>
      <c r="K47" s="5"/>
    </row>
    <row r="48" spans="2:11" ht="15" thickBot="1" x14ac:dyDescent="0.4">
      <c r="B48" s="5"/>
      <c r="C48" s="10" t="s">
        <v>174</v>
      </c>
      <c r="D48" s="10" t="s">
        <v>48</v>
      </c>
      <c r="E48" s="10" t="s">
        <v>38</v>
      </c>
      <c r="F48" s="10" t="s">
        <v>13</v>
      </c>
      <c r="G48" s="11">
        <v>10</v>
      </c>
      <c r="H48" s="2">
        <v>40</v>
      </c>
      <c r="I48" s="1">
        <v>45000</v>
      </c>
      <c r="J48" s="24">
        <f>ListeM[[#This Row],[Stock initial]]*ListeM[[#This Row],[Prix unitaire]]</f>
        <v>1800000</v>
      </c>
      <c r="K48" s="5"/>
    </row>
    <row r="49" spans="2:11" ht="15" thickBot="1" x14ac:dyDescent="0.4">
      <c r="B49" s="5"/>
      <c r="C49" s="10" t="s">
        <v>175</v>
      </c>
      <c r="D49" s="10" t="s">
        <v>49</v>
      </c>
      <c r="E49" s="10" t="s">
        <v>38</v>
      </c>
      <c r="F49" s="10" t="s">
        <v>13</v>
      </c>
      <c r="G49" s="11">
        <v>10</v>
      </c>
      <c r="H49" s="2">
        <v>30</v>
      </c>
      <c r="I49" s="1">
        <v>70000</v>
      </c>
      <c r="J49" s="24">
        <f>ListeM[[#This Row],[Stock initial]]*ListeM[[#This Row],[Prix unitaire]]</f>
        <v>2100000</v>
      </c>
      <c r="K49" s="5"/>
    </row>
    <row r="50" spans="2:11" ht="15" thickBot="1" x14ac:dyDescent="0.4">
      <c r="B50" s="5"/>
      <c r="C50" s="10" t="s">
        <v>176</v>
      </c>
      <c r="D50" s="10" t="s">
        <v>50</v>
      </c>
      <c r="E50" s="10" t="s">
        <v>38</v>
      </c>
      <c r="F50" s="10" t="s">
        <v>13</v>
      </c>
      <c r="G50" s="11">
        <v>20</v>
      </c>
      <c r="H50" s="2">
        <v>120</v>
      </c>
      <c r="I50" s="1">
        <v>4000</v>
      </c>
      <c r="J50" s="24">
        <f>ListeM[[#This Row],[Stock initial]]*ListeM[[#This Row],[Prix unitaire]]</f>
        <v>480000</v>
      </c>
      <c r="K50" s="5"/>
    </row>
    <row r="51" spans="2:11" ht="15" thickBot="1" x14ac:dyDescent="0.4">
      <c r="B51" s="5"/>
      <c r="C51" s="10" t="s">
        <v>177</v>
      </c>
      <c r="D51" s="10" t="s">
        <v>51</v>
      </c>
      <c r="E51" s="10" t="s">
        <v>38</v>
      </c>
      <c r="F51" s="10" t="s">
        <v>13</v>
      </c>
      <c r="G51" s="11">
        <v>20</v>
      </c>
      <c r="H51" s="2">
        <v>100</v>
      </c>
      <c r="I51" s="1">
        <v>7000</v>
      </c>
      <c r="J51" s="24">
        <f>ListeM[[#This Row],[Stock initial]]*ListeM[[#This Row],[Prix unitaire]]</f>
        <v>700000</v>
      </c>
      <c r="K51" s="5"/>
    </row>
    <row r="52" spans="2:11" ht="15" thickBot="1" x14ac:dyDescent="0.4">
      <c r="B52" s="5"/>
      <c r="C52" s="10" t="s">
        <v>178</v>
      </c>
      <c r="D52" s="10" t="s">
        <v>52</v>
      </c>
      <c r="E52" s="10" t="s">
        <v>53</v>
      </c>
      <c r="F52" s="10" t="s">
        <v>13</v>
      </c>
      <c r="G52" s="11">
        <v>10</v>
      </c>
      <c r="H52" s="2">
        <v>30</v>
      </c>
      <c r="I52" s="1">
        <v>25000</v>
      </c>
      <c r="J52" s="24">
        <f>ListeM[[#This Row],[Stock initial]]*ListeM[[#This Row],[Prix unitaire]]</f>
        <v>750000</v>
      </c>
      <c r="K52" s="5"/>
    </row>
    <row r="53" spans="2:11" ht="15" thickBot="1" x14ac:dyDescent="0.4">
      <c r="B53" s="5"/>
      <c r="C53" s="10" t="s">
        <v>179</v>
      </c>
      <c r="D53" s="10" t="s">
        <v>54</v>
      </c>
      <c r="E53" s="10" t="s">
        <v>53</v>
      </c>
      <c r="F53" s="10" t="s">
        <v>13</v>
      </c>
      <c r="G53" s="11">
        <v>10</v>
      </c>
      <c r="H53" s="2">
        <v>25</v>
      </c>
      <c r="I53" s="1">
        <v>30000</v>
      </c>
      <c r="J53" s="24">
        <f>ListeM[[#This Row],[Stock initial]]*ListeM[[#This Row],[Prix unitaire]]</f>
        <v>750000</v>
      </c>
      <c r="K53" s="5"/>
    </row>
    <row r="54" spans="2:11" ht="15" thickBot="1" x14ac:dyDescent="0.4">
      <c r="B54" s="5"/>
      <c r="C54" s="10" t="s">
        <v>180</v>
      </c>
      <c r="D54" s="10" t="s">
        <v>55</v>
      </c>
      <c r="E54" s="10" t="s">
        <v>53</v>
      </c>
      <c r="F54" s="10" t="s">
        <v>13</v>
      </c>
      <c r="G54" s="11">
        <v>5</v>
      </c>
      <c r="H54" s="2">
        <v>20</v>
      </c>
      <c r="I54" s="1">
        <v>20000</v>
      </c>
      <c r="J54" s="24">
        <f>ListeM[[#This Row],[Stock initial]]*ListeM[[#This Row],[Prix unitaire]]</f>
        <v>400000</v>
      </c>
      <c r="K54" s="5"/>
    </row>
    <row r="55" spans="2:11" ht="15" thickBot="1" x14ac:dyDescent="0.4">
      <c r="B55" s="5"/>
      <c r="C55" s="10" t="s">
        <v>181</v>
      </c>
      <c r="D55" s="10" t="s">
        <v>56</v>
      </c>
      <c r="E55" s="10" t="s">
        <v>53</v>
      </c>
      <c r="F55" s="10" t="s">
        <v>13</v>
      </c>
      <c r="G55" s="11">
        <v>5</v>
      </c>
      <c r="H55" s="2">
        <v>15</v>
      </c>
      <c r="I55" s="1">
        <v>35000</v>
      </c>
      <c r="J55" s="24">
        <f>ListeM[[#This Row],[Stock initial]]*ListeM[[#This Row],[Prix unitaire]]</f>
        <v>525000</v>
      </c>
      <c r="K55" s="5"/>
    </row>
    <row r="56" spans="2:11" ht="15" thickBot="1" x14ac:dyDescent="0.4">
      <c r="B56" s="5"/>
      <c r="C56" s="10" t="s">
        <v>182</v>
      </c>
      <c r="D56" s="10" t="s">
        <v>57</v>
      </c>
      <c r="E56" s="10" t="s">
        <v>53</v>
      </c>
      <c r="F56" s="10" t="s">
        <v>13</v>
      </c>
      <c r="G56" s="11">
        <v>30</v>
      </c>
      <c r="H56" s="2">
        <v>200</v>
      </c>
      <c r="I56" s="1">
        <v>1000</v>
      </c>
      <c r="J56" s="24">
        <f>ListeM[[#This Row],[Stock initial]]*ListeM[[#This Row],[Prix unitaire]]</f>
        <v>200000</v>
      </c>
      <c r="K56" s="5"/>
    </row>
    <row r="57" spans="2:11" ht="15" thickBot="1" x14ac:dyDescent="0.4">
      <c r="B57" s="5"/>
      <c r="C57" s="10" t="s">
        <v>183</v>
      </c>
      <c r="D57" s="10" t="s">
        <v>58</v>
      </c>
      <c r="E57" s="10" t="s">
        <v>53</v>
      </c>
      <c r="F57" s="10" t="s">
        <v>13</v>
      </c>
      <c r="G57" s="11">
        <v>30</v>
      </c>
      <c r="H57" s="2">
        <v>180</v>
      </c>
      <c r="I57" s="1">
        <v>1500</v>
      </c>
      <c r="J57" s="24">
        <f>ListeM[[#This Row],[Stock initial]]*ListeM[[#This Row],[Prix unitaire]]</f>
        <v>270000</v>
      </c>
      <c r="K57" s="5"/>
    </row>
    <row r="58" spans="2:11" ht="15" thickBot="1" x14ac:dyDescent="0.4">
      <c r="B58" s="5"/>
      <c r="C58" s="10" t="s">
        <v>184</v>
      </c>
      <c r="D58" s="10" t="s">
        <v>59</v>
      </c>
      <c r="E58" s="10" t="s">
        <v>60</v>
      </c>
      <c r="F58" s="10" t="s">
        <v>13</v>
      </c>
      <c r="G58" s="11">
        <v>5</v>
      </c>
      <c r="H58" s="2">
        <v>25</v>
      </c>
      <c r="I58" s="1">
        <v>30000</v>
      </c>
      <c r="J58" s="24">
        <f>ListeM[[#This Row],[Stock initial]]*ListeM[[#This Row],[Prix unitaire]]</f>
        <v>750000</v>
      </c>
      <c r="K58" s="5"/>
    </row>
    <row r="59" spans="2:11" ht="15" thickBot="1" x14ac:dyDescent="0.4">
      <c r="B59" s="5"/>
      <c r="C59" s="10" t="s">
        <v>185</v>
      </c>
      <c r="D59" s="10" t="s">
        <v>61</v>
      </c>
      <c r="E59" s="10" t="s">
        <v>60</v>
      </c>
      <c r="F59" s="10" t="s">
        <v>13</v>
      </c>
      <c r="G59" s="11">
        <v>5</v>
      </c>
      <c r="H59" s="2">
        <v>20</v>
      </c>
      <c r="I59" s="1">
        <v>50000</v>
      </c>
      <c r="J59" s="24">
        <f>ListeM[[#This Row],[Stock initial]]*ListeM[[#This Row],[Prix unitaire]]</f>
        <v>1000000</v>
      </c>
      <c r="K59" s="5"/>
    </row>
    <row r="60" spans="2:11" ht="15" thickBot="1" x14ac:dyDescent="0.4">
      <c r="B60" s="5"/>
      <c r="C60" s="10" t="s">
        <v>186</v>
      </c>
      <c r="D60" s="10" t="s">
        <v>62</v>
      </c>
      <c r="E60" s="10" t="s">
        <v>63</v>
      </c>
      <c r="F60" s="10" t="s">
        <v>13</v>
      </c>
      <c r="G60" s="11">
        <v>10</v>
      </c>
      <c r="H60" s="2">
        <v>40</v>
      </c>
      <c r="I60" s="1">
        <v>25000</v>
      </c>
      <c r="J60" s="24">
        <f>ListeM[[#This Row],[Stock initial]]*ListeM[[#This Row],[Prix unitaire]]</f>
        <v>1000000</v>
      </c>
      <c r="K60" s="5"/>
    </row>
    <row r="61" spans="2:11" ht="15" thickBot="1" x14ac:dyDescent="0.4">
      <c r="B61" s="5"/>
      <c r="C61" s="10" t="s">
        <v>187</v>
      </c>
      <c r="D61" s="10" t="s">
        <v>64</v>
      </c>
      <c r="E61" s="10" t="s">
        <v>63</v>
      </c>
      <c r="F61" s="10" t="s">
        <v>13</v>
      </c>
      <c r="G61" s="11">
        <v>3</v>
      </c>
      <c r="H61" s="2">
        <v>10</v>
      </c>
      <c r="I61" s="1">
        <v>300000</v>
      </c>
      <c r="J61" s="24">
        <f>ListeM[[#This Row],[Stock initial]]*ListeM[[#This Row],[Prix unitaire]]</f>
        <v>3000000</v>
      </c>
      <c r="K61" s="5"/>
    </row>
    <row r="62" spans="2:11" ht="15" thickBot="1" x14ac:dyDescent="0.4">
      <c r="B62" s="5"/>
      <c r="C62" s="10" t="s">
        <v>188</v>
      </c>
      <c r="D62" s="10" t="s">
        <v>65</v>
      </c>
      <c r="E62" s="10" t="s">
        <v>60</v>
      </c>
      <c r="F62" s="10" t="s">
        <v>13</v>
      </c>
      <c r="G62" s="11">
        <v>5</v>
      </c>
      <c r="H62" s="2">
        <v>20</v>
      </c>
      <c r="I62" s="1">
        <v>120000</v>
      </c>
      <c r="J62" s="24">
        <f>ListeM[[#This Row],[Stock initial]]*ListeM[[#This Row],[Prix unitaire]]</f>
        <v>2400000</v>
      </c>
      <c r="K62" s="5"/>
    </row>
    <row r="63" spans="2:11" ht="15" thickBot="1" x14ac:dyDescent="0.4">
      <c r="B63" s="5"/>
      <c r="C63" s="10" t="s">
        <v>189</v>
      </c>
      <c r="D63" s="10" t="s">
        <v>66</v>
      </c>
      <c r="E63" s="10" t="s">
        <v>60</v>
      </c>
      <c r="F63" s="10" t="s">
        <v>13</v>
      </c>
      <c r="G63" s="11">
        <v>5</v>
      </c>
      <c r="H63" s="2">
        <v>15</v>
      </c>
      <c r="I63" s="1">
        <v>180000</v>
      </c>
      <c r="J63" s="24">
        <f>ListeM[[#This Row],[Stock initial]]*ListeM[[#This Row],[Prix unitaire]]</f>
        <v>2700000</v>
      </c>
      <c r="K63" s="5"/>
    </row>
    <row r="64" spans="2:11" ht="15" thickBot="1" x14ac:dyDescent="0.4">
      <c r="B64" s="5"/>
      <c r="C64" s="10" t="s">
        <v>190</v>
      </c>
      <c r="D64" s="10" t="s">
        <v>67</v>
      </c>
      <c r="E64" s="10" t="s">
        <v>60</v>
      </c>
      <c r="F64" s="10" t="s">
        <v>13</v>
      </c>
      <c r="G64" s="11">
        <v>3</v>
      </c>
      <c r="H64" s="2">
        <v>10</v>
      </c>
      <c r="I64" s="1">
        <v>300000</v>
      </c>
      <c r="J64" s="24">
        <f>ListeM[[#This Row],[Stock initial]]*ListeM[[#This Row],[Prix unitaire]]</f>
        <v>3000000</v>
      </c>
      <c r="K64" s="5"/>
    </row>
    <row r="65" spans="2:11" ht="15" thickBot="1" x14ac:dyDescent="0.4">
      <c r="B65" s="5"/>
      <c r="C65" s="10" t="s">
        <v>191</v>
      </c>
      <c r="D65" s="10" t="s">
        <v>68</v>
      </c>
      <c r="E65" s="10" t="s">
        <v>63</v>
      </c>
      <c r="F65" s="10" t="s">
        <v>13</v>
      </c>
      <c r="G65" s="11">
        <v>3</v>
      </c>
      <c r="H65" s="2">
        <v>8</v>
      </c>
      <c r="I65" s="1">
        <v>250000</v>
      </c>
      <c r="J65" s="24">
        <f>ListeM[[#This Row],[Stock initial]]*ListeM[[#This Row],[Prix unitaire]]</f>
        <v>2000000</v>
      </c>
      <c r="K65" s="5"/>
    </row>
    <row r="66" spans="2:11" ht="15" thickBot="1" x14ac:dyDescent="0.4">
      <c r="B66" s="5"/>
      <c r="C66" s="10" t="s">
        <v>192</v>
      </c>
      <c r="D66" s="10" t="s">
        <v>69</v>
      </c>
      <c r="E66" s="10" t="s">
        <v>63</v>
      </c>
      <c r="F66" s="10" t="s">
        <v>13</v>
      </c>
      <c r="G66" s="11">
        <v>3</v>
      </c>
      <c r="H66" s="2">
        <v>6</v>
      </c>
      <c r="I66" s="1">
        <v>400000</v>
      </c>
      <c r="J66" s="24">
        <f>ListeM[[#This Row],[Stock initial]]*ListeM[[#This Row],[Prix unitaire]]</f>
        <v>2400000</v>
      </c>
      <c r="K66" s="5"/>
    </row>
    <row r="67" spans="2:11" ht="15" thickBot="1" x14ac:dyDescent="0.4">
      <c r="B67" s="5"/>
      <c r="C67" s="10" t="s">
        <v>193</v>
      </c>
      <c r="D67" s="10" t="s">
        <v>70</v>
      </c>
      <c r="E67" s="10" t="s">
        <v>63</v>
      </c>
      <c r="F67" s="10" t="s">
        <v>13</v>
      </c>
      <c r="G67" s="11">
        <v>5</v>
      </c>
      <c r="H67" s="2">
        <v>20</v>
      </c>
      <c r="I67" s="1">
        <v>80000</v>
      </c>
      <c r="J67" s="24">
        <f>ListeM[[#This Row],[Stock initial]]*ListeM[[#This Row],[Prix unitaire]]</f>
        <v>1600000</v>
      </c>
      <c r="K67" s="5"/>
    </row>
    <row r="68" spans="2:11" ht="15" thickBot="1" x14ac:dyDescent="0.4">
      <c r="B68" s="5"/>
      <c r="C68" s="10" t="s">
        <v>194</v>
      </c>
      <c r="D68" s="10" t="s">
        <v>71</v>
      </c>
      <c r="E68" s="10" t="s">
        <v>72</v>
      </c>
      <c r="F68" s="10" t="s">
        <v>73</v>
      </c>
      <c r="G68" s="11">
        <v>10</v>
      </c>
      <c r="H68" s="2">
        <v>100</v>
      </c>
      <c r="I68" s="1">
        <v>15000</v>
      </c>
      <c r="J68" s="24">
        <f>ListeM[[#This Row],[Stock initial]]*ListeM[[#This Row],[Prix unitaire]]</f>
        <v>1500000</v>
      </c>
      <c r="K68" s="5"/>
    </row>
    <row r="69" spans="2:11" ht="15" thickBot="1" x14ac:dyDescent="0.4">
      <c r="B69" s="5"/>
      <c r="C69" s="10" t="s">
        <v>195</v>
      </c>
      <c r="D69" s="10" t="s">
        <v>74</v>
      </c>
      <c r="E69" s="10" t="s">
        <v>72</v>
      </c>
      <c r="F69" s="10" t="s">
        <v>13</v>
      </c>
      <c r="G69" s="11">
        <v>30</v>
      </c>
      <c r="H69" s="2">
        <v>200</v>
      </c>
      <c r="I69" s="1">
        <v>800</v>
      </c>
      <c r="J69" s="24">
        <f>ListeM[[#This Row],[Stock initial]]*ListeM[[#This Row],[Prix unitaire]]</f>
        <v>160000</v>
      </c>
      <c r="K69" s="5"/>
    </row>
    <row r="70" spans="2:11" ht="15" thickBot="1" x14ac:dyDescent="0.4">
      <c r="B70" s="5"/>
      <c r="C70" s="10" t="s">
        <v>196</v>
      </c>
      <c r="D70" s="10" t="s">
        <v>75</v>
      </c>
      <c r="E70" s="10" t="s">
        <v>72</v>
      </c>
      <c r="F70" s="10" t="s">
        <v>13</v>
      </c>
      <c r="G70" s="11">
        <v>20</v>
      </c>
      <c r="H70" s="2">
        <v>150</v>
      </c>
      <c r="I70" s="1">
        <v>1500</v>
      </c>
      <c r="J70" s="24">
        <f>ListeM[[#This Row],[Stock initial]]*ListeM[[#This Row],[Prix unitaire]]</f>
        <v>225000</v>
      </c>
      <c r="K70" s="5"/>
    </row>
    <row r="71" spans="2:11" ht="15" thickBot="1" x14ac:dyDescent="0.4">
      <c r="B71" s="5"/>
      <c r="C71" s="10" t="s">
        <v>197</v>
      </c>
      <c r="D71" s="10" t="s">
        <v>76</v>
      </c>
      <c r="E71" s="10" t="s">
        <v>72</v>
      </c>
      <c r="F71" s="10" t="s">
        <v>13</v>
      </c>
      <c r="G71" s="11">
        <v>20</v>
      </c>
      <c r="H71" s="2">
        <v>120</v>
      </c>
      <c r="I71" s="1">
        <v>2500</v>
      </c>
      <c r="J71" s="24">
        <f>ListeM[[#This Row],[Stock initial]]*ListeM[[#This Row],[Prix unitaire]]</f>
        <v>300000</v>
      </c>
      <c r="K71" s="5"/>
    </row>
    <row r="72" spans="2:11" ht="15" thickBot="1" x14ac:dyDescent="0.4">
      <c r="B72" s="5"/>
      <c r="C72" s="10" t="s">
        <v>198</v>
      </c>
      <c r="D72" s="10" t="s">
        <v>77</v>
      </c>
      <c r="E72" s="10" t="s">
        <v>72</v>
      </c>
      <c r="F72" s="10" t="s">
        <v>13</v>
      </c>
      <c r="G72" s="11">
        <v>30</v>
      </c>
      <c r="H72" s="2">
        <v>180</v>
      </c>
      <c r="I72" s="1">
        <v>700</v>
      </c>
      <c r="J72" s="24">
        <f>ListeM[[#This Row],[Stock initial]]*ListeM[[#This Row],[Prix unitaire]]</f>
        <v>126000</v>
      </c>
      <c r="K72" s="5"/>
    </row>
    <row r="73" spans="2:11" ht="15" thickBot="1" x14ac:dyDescent="0.4">
      <c r="B73" s="5"/>
      <c r="C73" s="10" t="s">
        <v>199</v>
      </c>
      <c r="D73" s="10" t="s">
        <v>78</v>
      </c>
      <c r="E73" s="10" t="s">
        <v>72</v>
      </c>
      <c r="F73" s="10" t="s">
        <v>79</v>
      </c>
      <c r="G73" s="11">
        <v>30</v>
      </c>
      <c r="H73" s="2">
        <v>300</v>
      </c>
      <c r="I73" s="1">
        <v>2500</v>
      </c>
      <c r="J73" s="24">
        <f>ListeM[[#This Row],[Stock initial]]*ListeM[[#This Row],[Prix unitaire]]</f>
        <v>750000</v>
      </c>
      <c r="K73" s="5"/>
    </row>
    <row r="74" spans="2:11" ht="15" thickBot="1" x14ac:dyDescent="0.4">
      <c r="B74" s="5"/>
      <c r="C74" s="10" t="s">
        <v>200</v>
      </c>
      <c r="D74" s="10" t="s">
        <v>80</v>
      </c>
      <c r="E74" s="10" t="s">
        <v>72</v>
      </c>
      <c r="F74" s="10" t="s">
        <v>13</v>
      </c>
      <c r="G74" s="11">
        <v>20</v>
      </c>
      <c r="H74" s="2">
        <v>150</v>
      </c>
      <c r="I74" s="1">
        <v>1000</v>
      </c>
      <c r="J74" s="24">
        <f>ListeM[[#This Row],[Stock initial]]*ListeM[[#This Row],[Prix unitaire]]</f>
        <v>150000</v>
      </c>
      <c r="K74" s="5"/>
    </row>
    <row r="75" spans="2:11" ht="15" thickBot="1" x14ac:dyDescent="0.4">
      <c r="B75" s="5"/>
      <c r="C75" s="10" t="s">
        <v>201</v>
      </c>
      <c r="D75" s="10" t="s">
        <v>81</v>
      </c>
      <c r="E75" s="10" t="s">
        <v>72</v>
      </c>
      <c r="F75" s="10" t="s">
        <v>13</v>
      </c>
      <c r="G75" s="11">
        <v>30</v>
      </c>
      <c r="H75" s="2">
        <v>200</v>
      </c>
      <c r="I75" s="1">
        <v>500</v>
      </c>
      <c r="J75" s="24">
        <f>ListeM[[#This Row],[Stock initial]]*ListeM[[#This Row],[Prix unitaire]]</f>
        <v>100000</v>
      </c>
      <c r="K75" s="5"/>
    </row>
    <row r="76" spans="2:11" ht="15" thickBot="1" x14ac:dyDescent="0.4">
      <c r="B76" s="5"/>
      <c r="C76" s="10" t="s">
        <v>202</v>
      </c>
      <c r="D76" s="10" t="s">
        <v>82</v>
      </c>
      <c r="E76" s="10" t="s">
        <v>72</v>
      </c>
      <c r="F76" s="10" t="s">
        <v>13</v>
      </c>
      <c r="G76" s="11">
        <v>20</v>
      </c>
      <c r="H76" s="2">
        <v>100</v>
      </c>
      <c r="I76" s="1">
        <v>2000</v>
      </c>
      <c r="J76" s="24">
        <f>ListeM[[#This Row],[Stock initial]]*ListeM[[#This Row],[Prix unitaire]]</f>
        <v>200000</v>
      </c>
      <c r="K76" s="5"/>
    </row>
    <row r="77" spans="2:11" ht="15" thickBot="1" x14ac:dyDescent="0.4">
      <c r="B77" s="5"/>
      <c r="C77" s="10" t="s">
        <v>203</v>
      </c>
      <c r="D77" s="10" t="s">
        <v>83</v>
      </c>
      <c r="E77" s="10" t="s">
        <v>72</v>
      </c>
      <c r="F77" s="10" t="s">
        <v>13</v>
      </c>
      <c r="G77" s="11">
        <v>20</v>
      </c>
      <c r="H77" s="2">
        <v>90</v>
      </c>
      <c r="I77" s="1">
        <v>1500</v>
      </c>
      <c r="J77" s="24">
        <f>ListeM[[#This Row],[Stock initial]]*ListeM[[#This Row],[Prix unitaire]]</f>
        <v>135000</v>
      </c>
      <c r="K77" s="5"/>
    </row>
    <row r="78" spans="2:11" ht="15" thickBot="1" x14ac:dyDescent="0.4">
      <c r="B78" s="5"/>
      <c r="C78" s="10" t="s">
        <v>204</v>
      </c>
      <c r="D78" s="10" t="s">
        <v>84</v>
      </c>
      <c r="E78" s="10" t="s">
        <v>85</v>
      </c>
      <c r="F78" s="10" t="s">
        <v>13</v>
      </c>
      <c r="G78" s="11">
        <v>30</v>
      </c>
      <c r="H78" s="2">
        <v>200</v>
      </c>
      <c r="I78" s="1">
        <v>500</v>
      </c>
      <c r="J78" s="24">
        <f>ListeM[[#This Row],[Stock initial]]*ListeM[[#This Row],[Prix unitaire]]</f>
        <v>100000</v>
      </c>
      <c r="K78" s="5"/>
    </row>
    <row r="79" spans="2:11" ht="15" thickBot="1" x14ac:dyDescent="0.4">
      <c r="B79" s="5"/>
      <c r="C79" s="10" t="s">
        <v>205</v>
      </c>
      <c r="D79" s="10" t="s">
        <v>86</v>
      </c>
      <c r="E79" s="10" t="s">
        <v>85</v>
      </c>
      <c r="F79" s="10" t="s">
        <v>13</v>
      </c>
      <c r="G79" s="11">
        <v>20</v>
      </c>
      <c r="H79" s="2">
        <v>150</v>
      </c>
      <c r="I79" s="1">
        <v>1000</v>
      </c>
      <c r="J79" s="24">
        <f>ListeM[[#This Row],[Stock initial]]*ListeM[[#This Row],[Prix unitaire]]</f>
        <v>150000</v>
      </c>
      <c r="K79" s="5"/>
    </row>
    <row r="80" spans="2:11" ht="15" thickBot="1" x14ac:dyDescent="0.4">
      <c r="B80" s="5"/>
      <c r="C80" s="10" t="s">
        <v>206</v>
      </c>
      <c r="D80" s="10" t="s">
        <v>87</v>
      </c>
      <c r="E80" s="10" t="s">
        <v>85</v>
      </c>
      <c r="F80" s="10" t="s">
        <v>13</v>
      </c>
      <c r="G80" s="11">
        <v>20</v>
      </c>
      <c r="H80" s="2">
        <v>140</v>
      </c>
      <c r="I80" s="1">
        <v>1500</v>
      </c>
      <c r="J80" s="24">
        <f>ListeM[[#This Row],[Stock initial]]*ListeM[[#This Row],[Prix unitaire]]</f>
        <v>210000</v>
      </c>
      <c r="K80" s="5"/>
    </row>
    <row r="81" spans="2:11" ht="15" thickBot="1" x14ac:dyDescent="0.4">
      <c r="B81" s="5"/>
      <c r="C81" s="10" t="s">
        <v>207</v>
      </c>
      <c r="D81" s="10" t="s">
        <v>88</v>
      </c>
      <c r="E81" s="10" t="s">
        <v>85</v>
      </c>
      <c r="F81" s="10" t="s">
        <v>13</v>
      </c>
      <c r="G81" s="11">
        <v>10</v>
      </c>
      <c r="H81" s="2">
        <v>50</v>
      </c>
      <c r="I81" s="1">
        <v>3000</v>
      </c>
      <c r="J81" s="24">
        <f>ListeM[[#This Row],[Stock initial]]*ListeM[[#This Row],[Prix unitaire]]</f>
        <v>150000</v>
      </c>
      <c r="K81" s="5"/>
    </row>
    <row r="82" spans="2:11" ht="15" thickBot="1" x14ac:dyDescent="0.4">
      <c r="B82" s="5"/>
      <c r="C82" s="10" t="s">
        <v>208</v>
      </c>
      <c r="D82" s="10" t="s">
        <v>89</v>
      </c>
      <c r="E82" s="10" t="s">
        <v>85</v>
      </c>
      <c r="F82" s="10" t="s">
        <v>13</v>
      </c>
      <c r="G82" s="11">
        <v>10</v>
      </c>
      <c r="H82" s="2">
        <v>60</v>
      </c>
      <c r="I82" s="1">
        <v>2500</v>
      </c>
      <c r="J82" s="24">
        <f>ListeM[[#This Row],[Stock initial]]*ListeM[[#This Row],[Prix unitaire]]</f>
        <v>150000</v>
      </c>
      <c r="K82" s="5"/>
    </row>
    <row r="83" spans="2:11" ht="15" thickBot="1" x14ac:dyDescent="0.4">
      <c r="B83" s="5"/>
      <c r="C83" s="10" t="s">
        <v>209</v>
      </c>
      <c r="D83" s="10" t="s">
        <v>90</v>
      </c>
      <c r="E83" s="10" t="s">
        <v>85</v>
      </c>
      <c r="F83" s="10" t="s">
        <v>13</v>
      </c>
      <c r="G83" s="11">
        <v>10</v>
      </c>
      <c r="H83" s="2">
        <v>40</v>
      </c>
      <c r="I83" s="1">
        <v>2000</v>
      </c>
      <c r="J83" s="24">
        <f>ListeM[[#This Row],[Stock initial]]*ListeM[[#This Row],[Prix unitaire]]</f>
        <v>80000</v>
      </c>
      <c r="K83" s="5"/>
    </row>
    <row r="84" spans="2:11" ht="15" thickBot="1" x14ac:dyDescent="0.4">
      <c r="B84" s="5"/>
      <c r="C84" s="10" t="s">
        <v>210</v>
      </c>
      <c r="D84" s="10" t="s">
        <v>91</v>
      </c>
      <c r="E84" s="10" t="s">
        <v>85</v>
      </c>
      <c r="F84" s="10" t="s">
        <v>13</v>
      </c>
      <c r="G84" s="11">
        <v>30</v>
      </c>
      <c r="H84" s="2">
        <v>180</v>
      </c>
      <c r="I84" s="1">
        <v>300</v>
      </c>
      <c r="J84" s="24">
        <f>ListeM[[#This Row],[Stock initial]]*ListeM[[#This Row],[Prix unitaire]]</f>
        <v>54000</v>
      </c>
      <c r="K84" s="5"/>
    </row>
    <row r="85" spans="2:11" ht="15" thickBot="1" x14ac:dyDescent="0.4">
      <c r="B85" s="5"/>
      <c r="C85" s="10" t="s">
        <v>211</v>
      </c>
      <c r="D85" s="10" t="s">
        <v>92</v>
      </c>
      <c r="E85" s="10" t="s">
        <v>85</v>
      </c>
      <c r="F85" s="10" t="s">
        <v>79</v>
      </c>
      <c r="G85" s="11">
        <v>30</v>
      </c>
      <c r="H85" s="2">
        <v>200</v>
      </c>
      <c r="I85" s="1">
        <v>2500</v>
      </c>
      <c r="J85" s="24">
        <f>ListeM[[#This Row],[Stock initial]]*ListeM[[#This Row],[Prix unitaire]]</f>
        <v>500000</v>
      </c>
      <c r="K85" s="5"/>
    </row>
    <row r="86" spans="2:11" ht="15" thickBot="1" x14ac:dyDescent="0.4">
      <c r="B86" s="5"/>
      <c r="C86" s="10" t="s">
        <v>212</v>
      </c>
      <c r="D86" s="10" t="s">
        <v>93</v>
      </c>
      <c r="E86" s="10" t="s">
        <v>85</v>
      </c>
      <c r="F86" s="10" t="s">
        <v>79</v>
      </c>
      <c r="G86" s="11">
        <v>30</v>
      </c>
      <c r="H86" s="2">
        <v>180</v>
      </c>
      <c r="I86" s="1">
        <v>1000</v>
      </c>
      <c r="J86" s="24">
        <f>ListeM[[#This Row],[Stock initial]]*ListeM[[#This Row],[Prix unitaire]]</f>
        <v>180000</v>
      </c>
      <c r="K86" s="5"/>
    </row>
    <row r="87" spans="2:11" ht="15" thickBot="1" x14ac:dyDescent="0.4">
      <c r="B87" s="5"/>
      <c r="C87" s="10" t="s">
        <v>213</v>
      </c>
      <c r="D87" s="10" t="s">
        <v>94</v>
      </c>
      <c r="E87" s="10" t="s">
        <v>85</v>
      </c>
      <c r="F87" s="10" t="s">
        <v>13</v>
      </c>
      <c r="G87" s="11">
        <v>20</v>
      </c>
      <c r="H87" s="2">
        <v>120</v>
      </c>
      <c r="I87" s="1">
        <v>2000</v>
      </c>
      <c r="J87" s="24">
        <f>ListeM[[#This Row],[Stock initial]]*ListeM[[#This Row],[Prix unitaire]]</f>
        <v>240000</v>
      </c>
      <c r="K87" s="5"/>
    </row>
    <row r="88" spans="2:11" ht="15" thickBot="1" x14ac:dyDescent="0.4">
      <c r="B88" s="5"/>
      <c r="C88" s="10" t="s">
        <v>214</v>
      </c>
      <c r="D88" s="10" t="s">
        <v>95</v>
      </c>
      <c r="E88" s="10" t="s">
        <v>96</v>
      </c>
      <c r="F88" s="10" t="s">
        <v>13</v>
      </c>
      <c r="G88" s="11">
        <v>50</v>
      </c>
      <c r="H88" s="2">
        <v>500</v>
      </c>
      <c r="I88" s="1">
        <v>100</v>
      </c>
      <c r="J88" s="24">
        <f>ListeM[[#This Row],[Stock initial]]*ListeM[[#This Row],[Prix unitaire]]</f>
        <v>50000</v>
      </c>
      <c r="K88" s="5"/>
    </row>
    <row r="89" spans="2:11" ht="15" thickBot="1" x14ac:dyDescent="0.4">
      <c r="B89" s="5"/>
      <c r="C89" s="10" t="s">
        <v>215</v>
      </c>
      <c r="D89" s="10" t="s">
        <v>97</v>
      </c>
      <c r="E89" s="10" t="s">
        <v>96</v>
      </c>
      <c r="F89" s="10" t="s">
        <v>13</v>
      </c>
      <c r="G89" s="11">
        <v>40</v>
      </c>
      <c r="H89" s="2">
        <v>400</v>
      </c>
      <c r="I89" s="1">
        <v>500</v>
      </c>
      <c r="J89" s="24">
        <f>ListeM[[#This Row],[Stock initial]]*ListeM[[#This Row],[Prix unitaire]]</f>
        <v>200000</v>
      </c>
      <c r="K89" s="5"/>
    </row>
    <row r="90" spans="2:11" ht="15" thickBot="1" x14ac:dyDescent="0.4">
      <c r="B90" s="5"/>
      <c r="C90" s="10" t="s">
        <v>216</v>
      </c>
      <c r="D90" s="10" t="s">
        <v>98</v>
      </c>
      <c r="E90" s="10" t="s">
        <v>96</v>
      </c>
      <c r="F90" s="10" t="s">
        <v>13</v>
      </c>
      <c r="G90" s="11">
        <v>20</v>
      </c>
      <c r="H90" s="2">
        <v>200</v>
      </c>
      <c r="I90" s="1">
        <v>1500</v>
      </c>
      <c r="J90" s="24">
        <f>ListeM[[#This Row],[Stock initial]]*ListeM[[#This Row],[Prix unitaire]]</f>
        <v>300000</v>
      </c>
      <c r="K90" s="5"/>
    </row>
    <row r="91" spans="2:11" ht="15" thickBot="1" x14ac:dyDescent="0.4">
      <c r="B91" s="5"/>
      <c r="C91" s="10" t="s">
        <v>217</v>
      </c>
      <c r="D91" s="10" t="s">
        <v>99</v>
      </c>
      <c r="E91" s="10" t="s">
        <v>96</v>
      </c>
      <c r="F91" s="10" t="s">
        <v>100</v>
      </c>
      <c r="G91" s="11">
        <v>20</v>
      </c>
      <c r="H91" s="2">
        <v>150</v>
      </c>
      <c r="I91" s="1">
        <v>3000</v>
      </c>
      <c r="J91" s="24">
        <f>ListeM[[#This Row],[Stock initial]]*ListeM[[#This Row],[Prix unitaire]]</f>
        <v>450000</v>
      </c>
      <c r="K91" s="5"/>
    </row>
    <row r="92" spans="2:11" ht="15" thickBot="1" x14ac:dyDescent="0.4">
      <c r="B92" s="5"/>
      <c r="C92" s="10" t="s">
        <v>218</v>
      </c>
      <c r="D92" s="10" t="s">
        <v>101</v>
      </c>
      <c r="E92" s="10" t="s">
        <v>96</v>
      </c>
      <c r="F92" s="10" t="s">
        <v>13</v>
      </c>
      <c r="G92" s="11">
        <v>10</v>
      </c>
      <c r="H92" s="2">
        <v>50</v>
      </c>
      <c r="I92" s="1">
        <v>2500</v>
      </c>
      <c r="J92" s="24">
        <f>ListeM[[#This Row],[Stock initial]]*ListeM[[#This Row],[Prix unitaire]]</f>
        <v>125000</v>
      </c>
      <c r="K92" s="5"/>
    </row>
    <row r="93" spans="2:11" ht="15" thickBot="1" x14ac:dyDescent="0.4">
      <c r="B93" s="5"/>
      <c r="C93" s="10" t="s">
        <v>219</v>
      </c>
      <c r="D93" s="10" t="s">
        <v>102</v>
      </c>
      <c r="E93" s="10" t="s">
        <v>96</v>
      </c>
      <c r="F93" s="10" t="s">
        <v>13</v>
      </c>
      <c r="G93" s="11">
        <v>10</v>
      </c>
      <c r="H93" s="2">
        <v>40</v>
      </c>
      <c r="I93" s="1">
        <v>5000</v>
      </c>
      <c r="J93" s="24">
        <f>ListeM[[#This Row],[Stock initial]]*ListeM[[#This Row],[Prix unitaire]]</f>
        <v>200000</v>
      </c>
      <c r="K93" s="5"/>
    </row>
    <row r="94" spans="2:11" ht="15" thickBot="1" x14ac:dyDescent="0.4">
      <c r="B94" s="5"/>
      <c r="C94" s="10" t="s">
        <v>220</v>
      </c>
      <c r="D94" s="10" t="s">
        <v>103</v>
      </c>
      <c r="E94" s="10" t="s">
        <v>96</v>
      </c>
      <c r="F94" s="10" t="s">
        <v>13</v>
      </c>
      <c r="G94" s="11">
        <v>20</v>
      </c>
      <c r="H94" s="2">
        <v>150</v>
      </c>
      <c r="I94" s="1">
        <v>300</v>
      </c>
      <c r="J94" s="24">
        <f>ListeM[[#This Row],[Stock initial]]*ListeM[[#This Row],[Prix unitaire]]</f>
        <v>45000</v>
      </c>
      <c r="K94" s="5"/>
    </row>
    <row r="95" spans="2:11" ht="15" thickBot="1" x14ac:dyDescent="0.4">
      <c r="B95" s="5"/>
      <c r="C95" s="10" t="s">
        <v>221</v>
      </c>
      <c r="D95" s="10" t="s">
        <v>104</v>
      </c>
      <c r="E95" s="10" t="s">
        <v>96</v>
      </c>
      <c r="F95" s="10" t="s">
        <v>13</v>
      </c>
      <c r="G95" s="11">
        <v>50</v>
      </c>
      <c r="H95" s="2">
        <v>400</v>
      </c>
      <c r="I95" s="1">
        <v>100</v>
      </c>
      <c r="J95" s="24">
        <f>ListeM[[#This Row],[Stock initial]]*ListeM[[#This Row],[Prix unitaire]]</f>
        <v>40000</v>
      </c>
      <c r="K95" s="5"/>
    </row>
    <row r="96" spans="2:11" ht="15" thickBot="1" x14ac:dyDescent="0.4">
      <c r="B96" s="5"/>
      <c r="C96" s="10" t="s">
        <v>222</v>
      </c>
      <c r="D96" s="10" t="s">
        <v>105</v>
      </c>
      <c r="E96" s="10" t="s">
        <v>96</v>
      </c>
      <c r="F96" s="10" t="s">
        <v>13</v>
      </c>
      <c r="G96" s="11">
        <v>50</v>
      </c>
      <c r="H96" s="2">
        <v>300</v>
      </c>
      <c r="I96" s="1">
        <v>50</v>
      </c>
      <c r="J96" s="24">
        <f>ListeM[[#This Row],[Stock initial]]*ListeM[[#This Row],[Prix unitaire]]</f>
        <v>15000</v>
      </c>
      <c r="K96" s="5"/>
    </row>
    <row r="97" spans="2:11" ht="15" thickBot="1" x14ac:dyDescent="0.4">
      <c r="B97" s="5"/>
      <c r="C97" s="10" t="s">
        <v>223</v>
      </c>
      <c r="D97" s="10" t="s">
        <v>106</v>
      </c>
      <c r="E97" s="10" t="s">
        <v>96</v>
      </c>
      <c r="F97" s="10" t="s">
        <v>13</v>
      </c>
      <c r="G97" s="11">
        <v>30</v>
      </c>
      <c r="H97" s="2">
        <v>200</v>
      </c>
      <c r="I97" s="1">
        <v>200</v>
      </c>
      <c r="J97" s="24">
        <f>ListeM[[#This Row],[Stock initial]]*ListeM[[#This Row],[Prix unitaire]]</f>
        <v>40000</v>
      </c>
      <c r="K97" s="5"/>
    </row>
    <row r="98" spans="2:11" ht="15" thickBot="1" x14ac:dyDescent="0.4">
      <c r="B98" s="5"/>
      <c r="C98" s="10" t="s">
        <v>224</v>
      </c>
      <c r="D98" s="10" t="s">
        <v>107</v>
      </c>
      <c r="E98" s="10" t="s">
        <v>108</v>
      </c>
      <c r="F98" s="10" t="s">
        <v>73</v>
      </c>
      <c r="G98" s="11">
        <v>20</v>
      </c>
      <c r="H98" s="2">
        <v>200</v>
      </c>
      <c r="I98" s="1">
        <v>6000</v>
      </c>
      <c r="J98" s="24">
        <f>ListeM[[#This Row],[Stock initial]]*ListeM[[#This Row],[Prix unitaire]]</f>
        <v>1200000</v>
      </c>
      <c r="K98" s="5"/>
    </row>
    <row r="99" spans="2:11" ht="15" thickBot="1" x14ac:dyDescent="0.4">
      <c r="B99" s="5"/>
      <c r="C99" s="10" t="s">
        <v>225</v>
      </c>
      <c r="D99" s="10" t="s">
        <v>109</v>
      </c>
      <c r="E99" s="10" t="s">
        <v>108</v>
      </c>
      <c r="F99" s="10" t="s">
        <v>110</v>
      </c>
      <c r="G99" s="11">
        <v>10</v>
      </c>
      <c r="H99" s="2">
        <v>100</v>
      </c>
      <c r="I99" s="1">
        <v>15000</v>
      </c>
      <c r="J99" s="24">
        <f>ListeM[[#This Row],[Stock initial]]*ListeM[[#This Row],[Prix unitaire]]</f>
        <v>1500000</v>
      </c>
      <c r="K99" s="5"/>
    </row>
    <row r="100" spans="2:11" ht="15" thickBot="1" x14ac:dyDescent="0.4">
      <c r="B100" s="5"/>
      <c r="C100" s="10" t="s">
        <v>226</v>
      </c>
      <c r="D100" s="10" t="s">
        <v>111</v>
      </c>
      <c r="E100" s="10" t="s">
        <v>108</v>
      </c>
      <c r="F100" s="10" t="s">
        <v>110</v>
      </c>
      <c r="G100" s="11">
        <v>10</v>
      </c>
      <c r="H100" s="2">
        <v>90</v>
      </c>
      <c r="I100" s="1">
        <v>18000</v>
      </c>
      <c r="J100" s="24">
        <f>ListeM[[#This Row],[Stock initial]]*ListeM[[#This Row],[Prix unitaire]]</f>
        <v>1620000</v>
      </c>
      <c r="K100" s="5"/>
    </row>
    <row r="101" spans="2:11" ht="15" thickBot="1" x14ac:dyDescent="0.4">
      <c r="B101" s="5"/>
      <c r="C101" s="10" t="s">
        <v>227</v>
      </c>
      <c r="D101" s="10" t="s">
        <v>112</v>
      </c>
      <c r="E101" s="10" t="s">
        <v>108</v>
      </c>
      <c r="F101" s="10" t="s">
        <v>13</v>
      </c>
      <c r="G101" s="11">
        <v>20</v>
      </c>
      <c r="H101" s="2">
        <v>150</v>
      </c>
      <c r="I101" s="1">
        <v>5000</v>
      </c>
      <c r="J101" s="24">
        <f>ListeM[[#This Row],[Stock initial]]*ListeM[[#This Row],[Prix unitaire]]</f>
        <v>750000</v>
      </c>
      <c r="K101" s="5"/>
    </row>
    <row r="102" spans="2:11" ht="15" thickBot="1" x14ac:dyDescent="0.4">
      <c r="B102" s="5"/>
      <c r="C102" s="10" t="s">
        <v>228</v>
      </c>
      <c r="D102" s="10" t="s">
        <v>113</v>
      </c>
      <c r="E102" s="10" t="s">
        <v>108</v>
      </c>
      <c r="F102" s="10" t="s">
        <v>114</v>
      </c>
      <c r="G102" s="11">
        <v>10</v>
      </c>
      <c r="H102" s="2">
        <v>80</v>
      </c>
      <c r="I102" s="1">
        <v>20000</v>
      </c>
      <c r="J102" s="24">
        <f>ListeM[[#This Row],[Stock initial]]*ListeM[[#This Row],[Prix unitaire]]</f>
        <v>1600000</v>
      </c>
      <c r="K102" s="5"/>
    </row>
    <row r="103" spans="2:11" ht="15" thickBot="1" x14ac:dyDescent="0.4">
      <c r="B103" s="5"/>
      <c r="C103" s="10" t="s">
        <v>229</v>
      </c>
      <c r="D103" s="10" t="s">
        <v>115</v>
      </c>
      <c r="E103" s="10" t="s">
        <v>108</v>
      </c>
      <c r="F103" s="10" t="s">
        <v>13</v>
      </c>
      <c r="G103" s="11">
        <v>20</v>
      </c>
      <c r="H103" s="2">
        <v>100</v>
      </c>
      <c r="I103" s="1">
        <v>1500</v>
      </c>
      <c r="J103" s="24">
        <f>ListeM[[#This Row],[Stock initial]]*ListeM[[#This Row],[Prix unitaire]]</f>
        <v>150000</v>
      </c>
      <c r="K103" s="5"/>
    </row>
    <row r="104" spans="2:11" ht="15" thickBot="1" x14ac:dyDescent="0.4">
      <c r="B104" s="5"/>
      <c r="C104" s="10" t="s">
        <v>230</v>
      </c>
      <c r="D104" s="10" t="s">
        <v>116</v>
      </c>
      <c r="E104" s="10" t="s">
        <v>108</v>
      </c>
      <c r="F104" s="10" t="s">
        <v>13</v>
      </c>
      <c r="G104" s="11">
        <v>10</v>
      </c>
      <c r="H104" s="2">
        <v>50</v>
      </c>
      <c r="I104" s="1">
        <v>3000</v>
      </c>
      <c r="J104" s="24">
        <f>ListeM[[#This Row],[Stock initial]]*ListeM[[#This Row],[Prix unitaire]]</f>
        <v>150000</v>
      </c>
      <c r="K104" s="5"/>
    </row>
    <row r="105" spans="2:11" ht="15" thickBot="1" x14ac:dyDescent="0.4">
      <c r="B105" s="5"/>
      <c r="C105" s="10" t="s">
        <v>231</v>
      </c>
      <c r="D105" s="10" t="s">
        <v>117</v>
      </c>
      <c r="E105" s="10" t="s">
        <v>108</v>
      </c>
      <c r="F105" s="10" t="s">
        <v>13</v>
      </c>
      <c r="G105" s="11">
        <v>10</v>
      </c>
      <c r="H105" s="2">
        <v>40</v>
      </c>
      <c r="I105" s="1">
        <v>4000</v>
      </c>
      <c r="J105" s="24">
        <f>ListeM[[#This Row],[Stock initial]]*ListeM[[#This Row],[Prix unitaire]]</f>
        <v>160000</v>
      </c>
      <c r="K105" s="5"/>
    </row>
    <row r="106" spans="2:11" ht="15" thickBot="1" x14ac:dyDescent="0.4">
      <c r="B106" s="5"/>
      <c r="C106" s="10" t="s">
        <v>232</v>
      </c>
      <c r="D106" s="10" t="s">
        <v>118</v>
      </c>
      <c r="E106" s="10" t="s">
        <v>108</v>
      </c>
      <c r="F106" s="10" t="s">
        <v>119</v>
      </c>
      <c r="G106" s="11">
        <v>30</v>
      </c>
      <c r="H106" s="2">
        <v>200</v>
      </c>
      <c r="I106" s="1">
        <v>1000</v>
      </c>
      <c r="J106" s="24">
        <f>ListeM[[#This Row],[Stock initial]]*ListeM[[#This Row],[Prix unitaire]]</f>
        <v>200000</v>
      </c>
      <c r="K106" s="5"/>
    </row>
    <row r="107" spans="2:11" ht="15" thickBot="1" x14ac:dyDescent="0.4">
      <c r="B107" s="5"/>
      <c r="C107" s="10" t="s">
        <v>233</v>
      </c>
      <c r="D107" s="10" t="s">
        <v>120</v>
      </c>
      <c r="E107" s="10" t="s">
        <v>108</v>
      </c>
      <c r="F107" s="10" t="s">
        <v>13</v>
      </c>
      <c r="G107" s="11">
        <v>20</v>
      </c>
      <c r="H107" s="2">
        <v>150</v>
      </c>
      <c r="I107" s="1">
        <v>2500</v>
      </c>
      <c r="J107" s="24">
        <f>ListeM[[#This Row],[Stock initial]]*ListeM[[#This Row],[Prix unitaire]]</f>
        <v>375000</v>
      </c>
      <c r="K107" s="5"/>
    </row>
    <row r="108" spans="2:11" ht="15" thickBot="1" x14ac:dyDescent="0.4">
      <c r="B108" s="5"/>
      <c r="C108" s="10" t="s">
        <v>234</v>
      </c>
      <c r="D108" s="10" t="s">
        <v>121</v>
      </c>
      <c r="E108" s="10" t="s">
        <v>60</v>
      </c>
      <c r="F108" s="10" t="s">
        <v>13</v>
      </c>
      <c r="G108" s="11">
        <v>30</v>
      </c>
      <c r="H108" s="2">
        <v>200</v>
      </c>
      <c r="I108" s="1">
        <v>2000</v>
      </c>
      <c r="J108" s="24">
        <f>ListeM[[#This Row],[Stock initial]]*ListeM[[#This Row],[Prix unitaire]]</f>
        <v>400000</v>
      </c>
      <c r="K108" s="5"/>
    </row>
    <row r="109" spans="2:11" ht="15" thickBot="1" x14ac:dyDescent="0.4">
      <c r="B109" s="5"/>
      <c r="C109" s="10" t="s">
        <v>235</v>
      </c>
      <c r="D109" s="10" t="s">
        <v>122</v>
      </c>
      <c r="E109" s="10" t="s">
        <v>60</v>
      </c>
      <c r="F109" s="10" t="s">
        <v>13</v>
      </c>
      <c r="G109" s="11">
        <v>10</v>
      </c>
      <c r="H109" s="2">
        <v>60</v>
      </c>
      <c r="I109" s="1">
        <v>150000</v>
      </c>
      <c r="J109" s="24">
        <f>ListeM[[#This Row],[Stock initial]]*ListeM[[#This Row],[Prix unitaire]]</f>
        <v>9000000</v>
      </c>
      <c r="K109" s="5"/>
    </row>
    <row r="110" spans="2:11" ht="15" thickBot="1" x14ac:dyDescent="0.4">
      <c r="B110" s="5"/>
      <c r="C110" s="10" t="s">
        <v>236</v>
      </c>
      <c r="D110" s="10" t="s">
        <v>123</v>
      </c>
      <c r="E110" s="10" t="s">
        <v>124</v>
      </c>
      <c r="F110" s="10" t="s">
        <v>13</v>
      </c>
      <c r="G110" s="11">
        <v>10</v>
      </c>
      <c r="H110" s="2">
        <v>40</v>
      </c>
      <c r="I110" s="1">
        <v>500000</v>
      </c>
      <c r="J110" s="24">
        <f>ListeM[[#This Row],[Stock initial]]*ListeM[[#This Row],[Prix unitaire]]</f>
        <v>20000000</v>
      </c>
      <c r="K110" s="5"/>
    </row>
    <row r="111" spans="2:11" ht="15" thickBot="1" x14ac:dyDescent="0.4">
      <c r="B111" s="5"/>
      <c r="C111" s="10" t="s">
        <v>237</v>
      </c>
      <c r="D111" s="10" t="s">
        <v>125</v>
      </c>
      <c r="E111" s="10" t="s">
        <v>124</v>
      </c>
      <c r="F111" s="10" t="s">
        <v>114</v>
      </c>
      <c r="G111" s="11">
        <v>10</v>
      </c>
      <c r="H111" s="2">
        <v>50</v>
      </c>
      <c r="I111" s="1">
        <v>10000</v>
      </c>
      <c r="J111" s="24">
        <f>ListeM[[#This Row],[Stock initial]]*ListeM[[#This Row],[Prix unitaire]]</f>
        <v>500000</v>
      </c>
      <c r="K111" s="5"/>
    </row>
    <row r="112" spans="2:11" ht="15" thickBot="1" x14ac:dyDescent="0.4">
      <c r="B112" s="5"/>
      <c r="C112" s="10" t="s">
        <v>238</v>
      </c>
      <c r="D112" s="10" t="s">
        <v>126</v>
      </c>
      <c r="E112" s="10" t="s">
        <v>124</v>
      </c>
      <c r="F112" s="10" t="s">
        <v>13</v>
      </c>
      <c r="G112" s="11">
        <v>10</v>
      </c>
      <c r="H112" s="2">
        <v>60</v>
      </c>
      <c r="I112" s="1">
        <v>35000</v>
      </c>
      <c r="J112" s="24">
        <f>ListeM[[#This Row],[Stock initial]]*ListeM[[#This Row],[Prix unitaire]]</f>
        <v>2100000</v>
      </c>
      <c r="K112" s="5"/>
    </row>
    <row r="113" spans="2:11" ht="15" thickBot="1" x14ac:dyDescent="0.4">
      <c r="B113" s="5"/>
      <c r="C113" s="10" t="s">
        <v>239</v>
      </c>
      <c r="D113" s="10" t="s">
        <v>127</v>
      </c>
      <c r="E113" s="10" t="s">
        <v>124</v>
      </c>
      <c r="F113" s="10" t="s">
        <v>13</v>
      </c>
      <c r="G113" s="11">
        <v>20</v>
      </c>
      <c r="H113" s="2">
        <v>100</v>
      </c>
      <c r="I113" s="1">
        <v>5000</v>
      </c>
      <c r="J113" s="24">
        <f>ListeM[[#This Row],[Stock initial]]*ListeM[[#This Row],[Prix unitaire]]</f>
        <v>500000</v>
      </c>
      <c r="K113" s="5"/>
    </row>
    <row r="114" spans="2:11" ht="15" thickBot="1" x14ac:dyDescent="0.4">
      <c r="B114" s="5"/>
      <c r="C114" s="10" t="s">
        <v>240</v>
      </c>
      <c r="D114" s="10" t="s">
        <v>128</v>
      </c>
      <c r="E114" s="10" t="s">
        <v>124</v>
      </c>
      <c r="F114" s="10" t="s">
        <v>13</v>
      </c>
      <c r="G114" s="11">
        <v>20</v>
      </c>
      <c r="H114" s="2">
        <v>90</v>
      </c>
      <c r="I114" s="1">
        <v>4000</v>
      </c>
      <c r="J114" s="24">
        <f>ListeM[[#This Row],[Stock initial]]*ListeM[[#This Row],[Prix unitaire]]</f>
        <v>360000</v>
      </c>
      <c r="K114" s="5"/>
    </row>
    <row r="115" spans="2:11" ht="15" thickBot="1" x14ac:dyDescent="0.4">
      <c r="B115" s="5"/>
      <c r="C115" s="10" t="s">
        <v>241</v>
      </c>
      <c r="D115" s="10" t="s">
        <v>129</v>
      </c>
      <c r="E115" s="10" t="s">
        <v>124</v>
      </c>
      <c r="F115" s="10" t="s">
        <v>13</v>
      </c>
      <c r="G115" s="11">
        <v>30</v>
      </c>
      <c r="H115" s="2">
        <v>120</v>
      </c>
      <c r="I115" s="1">
        <v>2000</v>
      </c>
      <c r="J115" s="24">
        <f>ListeM[[#This Row],[Stock initial]]*ListeM[[#This Row],[Prix unitaire]]</f>
        <v>240000</v>
      </c>
      <c r="K115" s="5"/>
    </row>
    <row r="116" spans="2:11" ht="15" thickBot="1" x14ac:dyDescent="0.4">
      <c r="B116" s="5"/>
      <c r="C116" s="10" t="s">
        <v>242</v>
      </c>
      <c r="D116" s="10" t="s">
        <v>130</v>
      </c>
      <c r="E116" s="10" t="s">
        <v>124</v>
      </c>
      <c r="F116" s="10" t="s">
        <v>13</v>
      </c>
      <c r="G116" s="11">
        <v>5</v>
      </c>
      <c r="H116" s="2">
        <v>20</v>
      </c>
      <c r="I116" s="1">
        <v>80000</v>
      </c>
      <c r="J116" s="24">
        <f>ListeM[[#This Row],[Stock initial]]*ListeM[[#This Row],[Prix unitaire]]</f>
        <v>1600000</v>
      </c>
      <c r="K116" s="5"/>
    </row>
    <row r="117" spans="2:11" ht="15" thickBot="1" x14ac:dyDescent="0.4">
      <c r="B117" s="5"/>
      <c r="C117" s="10" t="s">
        <v>243</v>
      </c>
      <c r="D117" s="10" t="s">
        <v>131</v>
      </c>
      <c r="E117" s="10" t="s">
        <v>124</v>
      </c>
      <c r="F117" s="10" t="s">
        <v>13</v>
      </c>
      <c r="G117" s="11">
        <v>5</v>
      </c>
      <c r="H117" s="2">
        <v>15</v>
      </c>
      <c r="I117" s="1">
        <v>90000</v>
      </c>
      <c r="J117" s="24">
        <f>ListeM[[#This Row],[Stock initial]]*ListeM[[#This Row],[Prix unitaire]]</f>
        <v>1350000</v>
      </c>
      <c r="K117" s="5"/>
    </row>
    <row r="118" spans="2:11" x14ac:dyDescent="0.35">
      <c r="B118" s="5"/>
      <c r="C118" s="5"/>
      <c r="D118" s="5"/>
      <c r="E118" s="5"/>
      <c r="F118" s="5"/>
      <c r="G118" s="13"/>
      <c r="H118" s="5"/>
      <c r="I118" s="19"/>
      <c r="J118" s="19"/>
      <c r="K118" s="5"/>
    </row>
  </sheetData>
  <sheetProtection formatColumns="0" insertRows="0" selectLockedCells="1" autoFilter="0"/>
  <mergeCells count="3">
    <mergeCell ref="C3:D3"/>
    <mergeCell ref="C4:G4"/>
    <mergeCell ref="C13:F13"/>
  </mergeCells>
  <phoneticPr fontId="11" type="noConversion"/>
  <dataValidations count="2">
    <dataValidation type="whole" operator="greaterThanOrEqual" allowBlank="1" showInputMessage="1" showErrorMessage="1" errorTitle="Erreur" error="Valeur incorrecte" prompt="Veuillez saisir un nombre entier !" sqref="H7:H8" xr:uid="{DF83A437-CF8E-41C0-AF69-D190AE86F549}">
      <formula1>1</formula1>
    </dataValidation>
    <dataValidation type="decimal" operator="greaterThanOrEqual" allowBlank="1" showInputMessage="1" showErrorMessage="1" errorTitle="Erreur" error="Valeur incorrecte" prompt="Veuillez saisir un montant !" sqref="H9" xr:uid="{C212BD51-FB23-4ED9-9610-C0B9AB8F0DD1}">
      <formula1>1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4681C-0FF5-4B3F-8A08-892581C94873}">
  <sheetPr codeName="Feuil3"/>
  <dimension ref="A1:M35"/>
  <sheetViews>
    <sheetView workbookViewId="0">
      <selection activeCell="E15" sqref="E15"/>
    </sheetView>
  </sheetViews>
  <sheetFormatPr baseColWidth="10" defaultRowHeight="14.5" x14ac:dyDescent="0.35"/>
  <cols>
    <col min="1" max="1" width="12.54296875" style="6" customWidth="1"/>
    <col min="2" max="2" width="4.36328125" style="6" customWidth="1"/>
    <col min="3" max="3" width="10.36328125" style="6" customWidth="1"/>
    <col min="4" max="4" width="15.6328125" style="6" customWidth="1"/>
    <col min="5" max="5" width="14.6328125" style="6" customWidth="1"/>
    <col min="6" max="6" width="24.08984375" style="6" customWidth="1"/>
    <col min="7" max="7" width="15.90625" style="17" customWidth="1"/>
    <col min="8" max="8" width="9.36328125" style="6" customWidth="1"/>
    <col min="9" max="9" width="21" style="21" customWidth="1"/>
    <col min="10" max="10" width="11.81640625" style="21" customWidth="1"/>
    <col min="11" max="11" width="21.1796875" style="21" customWidth="1"/>
    <col min="12" max="12" width="4.08984375" style="6" customWidth="1"/>
    <col min="13" max="16384" width="10.90625" style="6"/>
  </cols>
  <sheetData>
    <row r="1" spans="1:13" s="4" customFormat="1" x14ac:dyDescent="0.35">
      <c r="A1" s="3"/>
      <c r="B1" s="3"/>
      <c r="C1" s="3"/>
      <c r="D1" s="3"/>
      <c r="E1" s="3"/>
      <c r="F1" s="3"/>
      <c r="G1" s="12"/>
      <c r="H1" s="3"/>
      <c r="I1" s="18"/>
      <c r="J1" s="18"/>
      <c r="K1" s="18"/>
      <c r="L1" s="3"/>
      <c r="M1" s="3"/>
    </row>
    <row r="2" spans="1:13" s="4" customFormat="1" x14ac:dyDescent="0.35">
      <c r="A2" s="3"/>
      <c r="B2" s="3"/>
      <c r="C2" s="3"/>
      <c r="D2" s="3"/>
      <c r="E2" s="3"/>
      <c r="F2" s="3"/>
      <c r="G2" s="12"/>
      <c r="H2" s="3"/>
      <c r="I2" s="18"/>
      <c r="J2" s="18"/>
      <c r="K2" s="18"/>
      <c r="L2" s="3"/>
      <c r="M2" s="3"/>
    </row>
    <row r="3" spans="1:13" s="4" customFormat="1" ht="20" customHeight="1" x14ac:dyDescent="0.35">
      <c r="A3" s="3"/>
      <c r="B3" s="5"/>
      <c r="C3" s="81" t="s">
        <v>132</v>
      </c>
      <c r="D3" s="81"/>
      <c r="E3" s="5"/>
      <c r="F3" s="5"/>
      <c r="G3" s="13"/>
      <c r="H3" s="5"/>
      <c r="I3" s="19"/>
      <c r="J3" s="19"/>
      <c r="K3" s="19"/>
      <c r="L3" s="5"/>
      <c r="M3" s="3"/>
    </row>
    <row r="4" spans="1:13" s="4" customFormat="1" ht="20" customHeight="1" x14ac:dyDescent="0.35">
      <c r="A4" s="3"/>
      <c r="B4" s="5"/>
      <c r="C4" s="82" t="s">
        <v>245</v>
      </c>
      <c r="D4" s="82"/>
      <c r="E4" s="82"/>
      <c r="F4" s="82"/>
      <c r="G4" s="82"/>
      <c r="H4" s="5"/>
      <c r="I4" s="19"/>
      <c r="J4" s="19"/>
      <c r="K4" s="19"/>
      <c r="L4" s="5"/>
      <c r="M4" s="3"/>
    </row>
    <row r="5" spans="1:13" x14ac:dyDescent="0.35">
      <c r="B5" s="5"/>
      <c r="C5" s="5"/>
      <c r="D5" s="5"/>
      <c r="E5" s="5"/>
      <c r="F5" s="5"/>
      <c r="G5" s="13"/>
      <c r="H5" s="5"/>
      <c r="I5" s="19"/>
      <c r="J5" s="19"/>
      <c r="K5" s="19"/>
      <c r="L5" s="5"/>
    </row>
    <row r="6" spans="1:13" ht="15" thickBot="1" x14ac:dyDescent="0.4">
      <c r="B6" s="5"/>
      <c r="C6" s="9" t="s">
        <v>133</v>
      </c>
      <c r="D6" s="9" t="s">
        <v>16</v>
      </c>
      <c r="E6" s="9" t="s">
        <v>0</v>
      </c>
      <c r="F6" s="9" t="s">
        <v>134</v>
      </c>
      <c r="G6" s="9" t="s">
        <v>2</v>
      </c>
      <c r="H6" s="9" t="s">
        <v>7</v>
      </c>
      <c r="I6" s="16" t="s">
        <v>135</v>
      </c>
      <c r="J6" s="9" t="s">
        <v>136</v>
      </c>
      <c r="K6" s="16" t="s">
        <v>6</v>
      </c>
      <c r="L6" s="5"/>
    </row>
    <row r="7" spans="1:13" ht="15" thickBot="1" x14ac:dyDescent="0.4">
      <c r="B7" s="5"/>
      <c r="C7" s="39">
        <v>27</v>
      </c>
      <c r="D7" s="36">
        <v>46112</v>
      </c>
      <c r="E7" s="35" t="s">
        <v>144</v>
      </c>
      <c r="F7" s="35" t="s">
        <v>17</v>
      </c>
      <c r="G7" s="35" t="s">
        <v>12</v>
      </c>
      <c r="H7" s="39" t="s">
        <v>13</v>
      </c>
      <c r="I7" s="37">
        <v>180000</v>
      </c>
      <c r="J7" s="40">
        <v>30</v>
      </c>
      <c r="K7" s="37">
        <f>ListeE[[#This Row],[Coût d''achat]]*ListeE[[#This Row],[Quantité]]</f>
        <v>5400000</v>
      </c>
      <c r="L7" s="5"/>
    </row>
    <row r="8" spans="1:13" ht="15" thickBot="1" x14ac:dyDescent="0.4">
      <c r="B8" s="5"/>
      <c r="C8" s="39">
        <v>26</v>
      </c>
      <c r="D8" s="36">
        <v>46112</v>
      </c>
      <c r="E8" s="35" t="s">
        <v>143</v>
      </c>
      <c r="F8" s="35" t="s">
        <v>11</v>
      </c>
      <c r="G8" s="35" t="s">
        <v>12</v>
      </c>
      <c r="H8" s="39" t="s">
        <v>13</v>
      </c>
      <c r="I8" s="37">
        <v>500000</v>
      </c>
      <c r="J8" s="40">
        <v>100</v>
      </c>
      <c r="K8" s="37">
        <f>ListeE[[#This Row],[Coût d''achat]]*ListeE[[#This Row],[Quantité]]</f>
        <v>50000000</v>
      </c>
      <c r="L8" s="5"/>
    </row>
    <row r="9" spans="1:13" ht="15" thickBot="1" x14ac:dyDescent="0.4">
      <c r="B9" s="5"/>
      <c r="C9" s="39">
        <v>25</v>
      </c>
      <c r="D9" s="36">
        <v>46112</v>
      </c>
      <c r="E9" s="35" t="s">
        <v>147</v>
      </c>
      <c r="F9" s="35" t="s">
        <v>19</v>
      </c>
      <c r="G9" s="35" t="s">
        <v>12</v>
      </c>
      <c r="H9" s="39" t="s">
        <v>13</v>
      </c>
      <c r="I9" s="37">
        <v>550000</v>
      </c>
      <c r="J9" s="40">
        <v>50</v>
      </c>
      <c r="K9" s="37">
        <f>ListeE[[#This Row],[Coût d''achat]]*ListeE[[#This Row],[Quantité]]</f>
        <v>27500000</v>
      </c>
      <c r="L9" s="5"/>
    </row>
    <row r="10" spans="1:13" ht="15" thickBot="1" x14ac:dyDescent="0.4">
      <c r="B10" s="5"/>
      <c r="C10" s="39">
        <v>24</v>
      </c>
      <c r="D10" s="36">
        <v>46112</v>
      </c>
      <c r="E10" s="35" t="s">
        <v>153</v>
      </c>
      <c r="F10" s="35" t="s">
        <v>25</v>
      </c>
      <c r="G10" s="35" t="s">
        <v>12</v>
      </c>
      <c r="H10" s="39" t="s">
        <v>13</v>
      </c>
      <c r="I10" s="37">
        <v>150000</v>
      </c>
      <c r="J10" s="40">
        <v>10</v>
      </c>
      <c r="K10" s="37">
        <f>ListeE[[#This Row],[Coût d''achat]]*ListeE[[#This Row],[Quantité]]</f>
        <v>1500000</v>
      </c>
      <c r="L10" s="5"/>
    </row>
    <row r="11" spans="1:13" ht="15" thickBot="1" x14ac:dyDescent="0.4">
      <c r="B11" s="5"/>
      <c r="C11" s="39">
        <v>23</v>
      </c>
      <c r="D11" s="36">
        <v>46112</v>
      </c>
      <c r="E11" s="35" t="s">
        <v>188</v>
      </c>
      <c r="F11" s="35" t="s">
        <v>65</v>
      </c>
      <c r="G11" s="35" t="s">
        <v>60</v>
      </c>
      <c r="H11" s="39" t="s">
        <v>13</v>
      </c>
      <c r="I11" s="37">
        <v>120000</v>
      </c>
      <c r="J11" s="40">
        <v>4</v>
      </c>
      <c r="K11" s="37">
        <f>ListeE[[#This Row],[Coût d''achat]]*ListeE[[#This Row],[Quantité]]</f>
        <v>480000</v>
      </c>
      <c r="L11" s="5"/>
    </row>
    <row r="12" spans="1:13" ht="15" thickBot="1" x14ac:dyDescent="0.4">
      <c r="B12" s="5"/>
      <c r="C12" s="39">
        <v>22</v>
      </c>
      <c r="D12" s="36">
        <v>46112</v>
      </c>
      <c r="E12" s="35" t="s">
        <v>169</v>
      </c>
      <c r="F12" s="35" t="s">
        <v>43</v>
      </c>
      <c r="G12" s="35" t="s">
        <v>38</v>
      </c>
      <c r="H12" s="39" t="s">
        <v>13</v>
      </c>
      <c r="I12" s="37">
        <v>400000</v>
      </c>
      <c r="J12" s="40">
        <v>65</v>
      </c>
      <c r="K12" s="37">
        <f>ListeE[[#This Row],[Coût d''achat]]*ListeE[[#This Row],[Quantité]]</f>
        <v>26000000</v>
      </c>
      <c r="L12" s="5"/>
    </row>
    <row r="13" spans="1:13" ht="15" thickBot="1" x14ac:dyDescent="0.4">
      <c r="B13" s="5"/>
      <c r="C13" s="39">
        <v>21</v>
      </c>
      <c r="D13" s="36">
        <v>46112</v>
      </c>
      <c r="E13" s="35" t="s">
        <v>150</v>
      </c>
      <c r="F13" s="35" t="s">
        <v>22</v>
      </c>
      <c r="G13" s="35" t="s">
        <v>12</v>
      </c>
      <c r="H13" s="39" t="s">
        <v>13</v>
      </c>
      <c r="I13" s="37">
        <v>160000</v>
      </c>
      <c r="J13" s="40">
        <v>50</v>
      </c>
      <c r="K13" s="37">
        <f>ListeE[[#This Row],[Coût d''achat]]*ListeE[[#This Row],[Quantité]]</f>
        <v>8000000</v>
      </c>
      <c r="L13" s="5"/>
    </row>
    <row r="14" spans="1:13" ht="15" thickBot="1" x14ac:dyDescent="0.4">
      <c r="B14" s="5"/>
      <c r="C14" s="39">
        <v>20</v>
      </c>
      <c r="D14" s="36">
        <v>46112</v>
      </c>
      <c r="E14" s="35" t="s">
        <v>145</v>
      </c>
      <c r="F14" s="35" t="s">
        <v>14</v>
      </c>
      <c r="G14" s="35" t="s">
        <v>12</v>
      </c>
      <c r="H14" s="39" t="s">
        <v>13</v>
      </c>
      <c r="I14" s="37">
        <v>250000</v>
      </c>
      <c r="J14" s="40">
        <v>47</v>
      </c>
      <c r="K14" s="37">
        <f>ListeE[[#This Row],[Coût d''achat]]*ListeE[[#This Row],[Quantité]]</f>
        <v>11750000</v>
      </c>
      <c r="L14" s="5"/>
    </row>
    <row r="15" spans="1:13" ht="15" thickBot="1" x14ac:dyDescent="0.4">
      <c r="B15" s="5"/>
      <c r="C15" s="39">
        <v>19</v>
      </c>
      <c r="D15" s="36">
        <v>46111</v>
      </c>
      <c r="E15" s="35" t="s">
        <v>162</v>
      </c>
      <c r="F15" s="35" t="s">
        <v>35</v>
      </c>
      <c r="G15" s="35" t="s">
        <v>27</v>
      </c>
      <c r="H15" s="39" t="s">
        <v>13</v>
      </c>
      <c r="I15" s="37">
        <v>3000</v>
      </c>
      <c r="J15" s="40">
        <v>9</v>
      </c>
      <c r="K15" s="37">
        <f>ListeE[[#This Row],[Coût d''achat]]*ListeE[[#This Row],[Quantité]]</f>
        <v>27000</v>
      </c>
      <c r="L15" s="5"/>
    </row>
    <row r="16" spans="1:13" ht="15" thickBot="1" x14ac:dyDescent="0.4">
      <c r="B16" s="5"/>
      <c r="C16" s="39">
        <v>18</v>
      </c>
      <c r="D16" s="36">
        <v>46111</v>
      </c>
      <c r="E16" s="35" t="s">
        <v>149</v>
      </c>
      <c r="F16" s="35" t="s">
        <v>21</v>
      </c>
      <c r="G16" s="35" t="s">
        <v>12</v>
      </c>
      <c r="H16" s="39" t="s">
        <v>13</v>
      </c>
      <c r="I16" s="37">
        <v>110000</v>
      </c>
      <c r="J16" s="40">
        <v>8</v>
      </c>
      <c r="K16" s="37">
        <f>ListeE[[#This Row],[Coût d''achat]]*ListeE[[#This Row],[Quantité]]</f>
        <v>880000</v>
      </c>
      <c r="L16" s="5"/>
    </row>
    <row r="17" spans="2:12" ht="15" thickBot="1" x14ac:dyDescent="0.4">
      <c r="B17" s="5"/>
      <c r="C17" s="39">
        <v>17</v>
      </c>
      <c r="D17" s="36">
        <v>46111</v>
      </c>
      <c r="E17" s="35" t="s">
        <v>147</v>
      </c>
      <c r="F17" s="35" t="s">
        <v>19</v>
      </c>
      <c r="G17" s="35" t="s">
        <v>12</v>
      </c>
      <c r="H17" s="39" t="s">
        <v>13</v>
      </c>
      <c r="I17" s="37">
        <v>550000</v>
      </c>
      <c r="J17" s="40">
        <v>7</v>
      </c>
      <c r="K17" s="37">
        <f>ListeE[[#This Row],[Coût d''achat]]*ListeE[[#This Row],[Quantité]]</f>
        <v>3850000</v>
      </c>
      <c r="L17" s="5"/>
    </row>
    <row r="18" spans="2:12" ht="15" thickBot="1" x14ac:dyDescent="0.4">
      <c r="B18" s="5"/>
      <c r="C18" s="39">
        <v>16</v>
      </c>
      <c r="D18" s="36">
        <v>46111</v>
      </c>
      <c r="E18" s="35" t="s">
        <v>173</v>
      </c>
      <c r="F18" s="35" t="s">
        <v>47</v>
      </c>
      <c r="G18" s="35" t="s">
        <v>38</v>
      </c>
      <c r="H18" s="39" t="s">
        <v>13</v>
      </c>
      <c r="I18" s="37">
        <v>8000</v>
      </c>
      <c r="J18" s="40">
        <v>9</v>
      </c>
      <c r="K18" s="37">
        <f>ListeE[[#This Row],[Coût d''achat]]*ListeE[[#This Row],[Quantité]]</f>
        <v>72000</v>
      </c>
      <c r="L18" s="5"/>
    </row>
    <row r="19" spans="2:12" ht="15" thickBot="1" x14ac:dyDescent="0.4">
      <c r="B19" s="5"/>
      <c r="C19" s="39">
        <v>15</v>
      </c>
      <c r="D19" s="36">
        <v>46142</v>
      </c>
      <c r="E19" s="35" t="s">
        <v>153</v>
      </c>
      <c r="F19" s="35" t="s">
        <v>25</v>
      </c>
      <c r="G19" s="35" t="s">
        <v>12</v>
      </c>
      <c r="H19" s="39" t="s">
        <v>13</v>
      </c>
      <c r="I19" s="37">
        <v>150000</v>
      </c>
      <c r="J19" s="40">
        <v>5</v>
      </c>
      <c r="K19" s="37">
        <f>ListeE[[#This Row],[Coût d''achat]]*ListeE[[#This Row],[Quantité]]</f>
        <v>750000</v>
      </c>
      <c r="L19" s="5"/>
    </row>
    <row r="20" spans="2:12" ht="15" thickBot="1" x14ac:dyDescent="0.4">
      <c r="B20" s="5"/>
      <c r="C20" s="39">
        <v>14</v>
      </c>
      <c r="D20" s="36">
        <v>46142</v>
      </c>
      <c r="E20" s="35" t="s">
        <v>144</v>
      </c>
      <c r="F20" s="35" t="s">
        <v>17</v>
      </c>
      <c r="G20" s="35" t="s">
        <v>12</v>
      </c>
      <c r="H20" s="39" t="s">
        <v>13</v>
      </c>
      <c r="I20" s="37">
        <v>180000</v>
      </c>
      <c r="J20" s="40">
        <v>5</v>
      </c>
      <c r="K20" s="37">
        <f>ListeE[[#This Row],[Coût d''achat]]*ListeE[[#This Row],[Quantité]]</f>
        <v>900000</v>
      </c>
      <c r="L20" s="5"/>
    </row>
    <row r="21" spans="2:12" ht="15" thickBot="1" x14ac:dyDescent="0.4">
      <c r="B21" s="5"/>
      <c r="C21" s="39">
        <v>13</v>
      </c>
      <c r="D21" s="36">
        <v>46233</v>
      </c>
      <c r="E21" s="35" t="s">
        <v>189</v>
      </c>
      <c r="F21" s="35" t="s">
        <v>66</v>
      </c>
      <c r="G21" s="35" t="s">
        <v>60</v>
      </c>
      <c r="H21" s="39" t="s">
        <v>13</v>
      </c>
      <c r="I21" s="37">
        <v>180000</v>
      </c>
      <c r="J21" s="40">
        <v>10</v>
      </c>
      <c r="K21" s="37">
        <f>ListeE[[#This Row],[Coût d''achat]]*ListeE[[#This Row],[Quantité]]</f>
        <v>1800000</v>
      </c>
      <c r="L21" s="5"/>
    </row>
    <row r="22" spans="2:12" ht="15" thickBot="1" x14ac:dyDescent="0.4">
      <c r="B22" s="5"/>
      <c r="C22" s="39">
        <v>12</v>
      </c>
      <c r="D22" s="36">
        <v>46229</v>
      </c>
      <c r="E22" s="35" t="s">
        <v>142</v>
      </c>
      <c r="F22" s="35" t="s">
        <v>14</v>
      </c>
      <c r="G22" s="35" t="s">
        <v>12</v>
      </c>
      <c r="H22" s="39" t="s">
        <v>15</v>
      </c>
      <c r="I22" s="37">
        <v>250000</v>
      </c>
      <c r="J22" s="40">
        <v>10</v>
      </c>
      <c r="K22" s="37">
        <f>ListeE[[#This Row],[Coût d''achat]]*ListeE[[#This Row],[Quantité]]</f>
        <v>2500000</v>
      </c>
      <c r="L22" s="5"/>
    </row>
    <row r="23" spans="2:12" ht="15" thickBot="1" x14ac:dyDescent="0.4">
      <c r="B23" s="5"/>
      <c r="C23" s="39">
        <v>11</v>
      </c>
      <c r="D23" s="36">
        <v>46229</v>
      </c>
      <c r="E23" s="35" t="s">
        <v>142</v>
      </c>
      <c r="F23" s="35" t="s">
        <v>14</v>
      </c>
      <c r="G23" s="35" t="s">
        <v>12</v>
      </c>
      <c r="H23" s="39" t="s">
        <v>15</v>
      </c>
      <c r="I23" s="37">
        <v>250000</v>
      </c>
      <c r="J23" s="40">
        <v>100</v>
      </c>
      <c r="K23" s="37">
        <f>ListeE[[#This Row],[Coût d''achat]]*ListeE[[#This Row],[Quantité]]</f>
        <v>25000000</v>
      </c>
      <c r="L23" s="5"/>
    </row>
    <row r="24" spans="2:12" ht="15" thickBot="1" x14ac:dyDescent="0.4">
      <c r="B24" s="5"/>
      <c r="C24" s="39">
        <v>10</v>
      </c>
      <c r="D24" s="36">
        <v>46166</v>
      </c>
      <c r="E24" s="35" t="s">
        <v>145</v>
      </c>
      <c r="F24" s="35" t="s">
        <v>14</v>
      </c>
      <c r="G24" s="35" t="s">
        <v>12</v>
      </c>
      <c r="H24" s="39" t="s">
        <v>13</v>
      </c>
      <c r="I24" s="37">
        <v>250000</v>
      </c>
      <c r="J24" s="40">
        <v>100</v>
      </c>
      <c r="K24" s="37">
        <f>ListeE[[#This Row],[Coût d''achat]]*ListeE[[#This Row],[Quantité]]</f>
        <v>25000000</v>
      </c>
      <c r="L24" s="5"/>
    </row>
    <row r="25" spans="2:12" ht="15" thickBot="1" x14ac:dyDescent="0.4">
      <c r="B25" s="5"/>
      <c r="C25" s="39">
        <v>9</v>
      </c>
      <c r="D25" s="36">
        <v>46166</v>
      </c>
      <c r="E25" s="35" t="s">
        <v>144</v>
      </c>
      <c r="F25" s="35" t="s">
        <v>17</v>
      </c>
      <c r="G25" s="35" t="s">
        <v>12</v>
      </c>
      <c r="H25" s="39" t="s">
        <v>13</v>
      </c>
      <c r="I25" s="37">
        <v>180000</v>
      </c>
      <c r="J25" s="40">
        <v>1</v>
      </c>
      <c r="K25" s="37">
        <f>ListeE[[#This Row],[Coût d''achat]]*ListeE[[#This Row],[Quantité]]</f>
        <v>180000</v>
      </c>
      <c r="L25" s="5"/>
    </row>
    <row r="26" spans="2:12" ht="15" thickBot="1" x14ac:dyDescent="0.4">
      <c r="B26" s="5"/>
      <c r="C26" s="39">
        <v>8</v>
      </c>
      <c r="D26" s="36">
        <v>46166</v>
      </c>
      <c r="E26" s="35" t="s">
        <v>146</v>
      </c>
      <c r="F26" s="35" t="s">
        <v>18</v>
      </c>
      <c r="G26" s="35" t="s">
        <v>12</v>
      </c>
      <c r="H26" s="39" t="s">
        <v>13</v>
      </c>
      <c r="I26" s="37">
        <v>300000</v>
      </c>
      <c r="J26" s="40">
        <v>1</v>
      </c>
      <c r="K26" s="37">
        <f>ListeE[[#This Row],[Coût d''achat]]*ListeE[[#This Row],[Quantité]]</f>
        <v>300000</v>
      </c>
      <c r="L26" s="5"/>
    </row>
    <row r="27" spans="2:12" ht="15" thickBot="1" x14ac:dyDescent="0.4">
      <c r="B27" s="5"/>
      <c r="C27" s="39">
        <v>7</v>
      </c>
      <c r="D27" s="36">
        <v>46046</v>
      </c>
      <c r="E27" s="35" t="s">
        <v>146</v>
      </c>
      <c r="F27" s="35" t="s">
        <v>18</v>
      </c>
      <c r="G27" s="35" t="s">
        <v>12</v>
      </c>
      <c r="H27" s="39" t="s">
        <v>13</v>
      </c>
      <c r="I27" s="37">
        <v>300000</v>
      </c>
      <c r="J27" s="40">
        <v>4</v>
      </c>
      <c r="K27" s="37">
        <f>ListeE[[#This Row],[Coût d''achat]]*ListeE[[#This Row],[Quantité]]</f>
        <v>1200000</v>
      </c>
      <c r="L27" s="5"/>
    </row>
    <row r="28" spans="2:12" ht="15" thickBot="1" x14ac:dyDescent="0.4">
      <c r="B28" s="5"/>
      <c r="C28" s="39">
        <v>6</v>
      </c>
      <c r="D28" s="36">
        <v>46105</v>
      </c>
      <c r="E28" s="35" t="s">
        <v>143</v>
      </c>
      <c r="F28" s="35" t="s">
        <v>11</v>
      </c>
      <c r="G28" s="35" t="s">
        <v>12</v>
      </c>
      <c r="H28" s="39" t="s">
        <v>13</v>
      </c>
      <c r="I28" s="37">
        <v>500000</v>
      </c>
      <c r="J28" s="40">
        <v>5</v>
      </c>
      <c r="K28" s="37">
        <f>ListeE[[#This Row],[Coût d''achat]]*ListeE[[#This Row],[Quantité]]</f>
        <v>2500000</v>
      </c>
      <c r="L28" s="5"/>
    </row>
    <row r="29" spans="2:12" ht="15" thickBot="1" x14ac:dyDescent="0.4">
      <c r="B29" s="5"/>
      <c r="C29" s="39">
        <v>5</v>
      </c>
      <c r="D29" s="36">
        <v>46196</v>
      </c>
      <c r="E29" s="35" t="s">
        <v>171</v>
      </c>
      <c r="F29" s="35" t="s">
        <v>45</v>
      </c>
      <c r="G29" s="35" t="s">
        <v>38</v>
      </c>
      <c r="H29" s="39" t="s">
        <v>13</v>
      </c>
      <c r="I29" s="37">
        <v>85000</v>
      </c>
      <c r="J29" s="40">
        <v>1</v>
      </c>
      <c r="K29" s="37">
        <f>ListeE[[#This Row],[Coût d''achat]]*ListeE[[#This Row],[Quantité]]</f>
        <v>85000</v>
      </c>
      <c r="L29" s="5"/>
    </row>
    <row r="30" spans="2:12" ht="15" thickBot="1" x14ac:dyDescent="0.4">
      <c r="B30" s="5"/>
      <c r="C30" s="39">
        <v>4</v>
      </c>
      <c r="D30" s="36">
        <v>46135</v>
      </c>
      <c r="E30" s="35" t="s">
        <v>178</v>
      </c>
      <c r="F30" s="35" t="s">
        <v>52</v>
      </c>
      <c r="G30" s="35" t="s">
        <v>53</v>
      </c>
      <c r="H30" s="39" t="s">
        <v>13</v>
      </c>
      <c r="I30" s="37">
        <v>25000</v>
      </c>
      <c r="J30" s="40">
        <v>2</v>
      </c>
      <c r="K30" s="37">
        <f>ListeE[[#This Row],[Coût d''achat]]*ListeE[[#This Row],[Quantité]]</f>
        <v>50000</v>
      </c>
      <c r="L30" s="5"/>
    </row>
    <row r="31" spans="2:12" ht="15" thickBot="1" x14ac:dyDescent="0.4">
      <c r="B31" s="5"/>
      <c r="C31" s="39">
        <v>3</v>
      </c>
      <c r="D31" s="36">
        <v>46104</v>
      </c>
      <c r="E31" s="35" t="s">
        <v>154</v>
      </c>
      <c r="F31" s="35" t="s">
        <v>26</v>
      </c>
      <c r="G31" s="35" t="s">
        <v>27</v>
      </c>
      <c r="H31" s="39" t="s">
        <v>13</v>
      </c>
      <c r="I31" s="37">
        <v>5000</v>
      </c>
      <c r="J31" s="40">
        <v>10</v>
      </c>
      <c r="K31" s="37">
        <f>ListeE[[#This Row],[Coût d''achat]]*ListeE[[#This Row],[Quantité]]</f>
        <v>50000</v>
      </c>
      <c r="L31" s="5"/>
    </row>
    <row r="32" spans="2:12" ht="15" thickBot="1" x14ac:dyDescent="0.4">
      <c r="B32" s="5"/>
      <c r="C32" s="39">
        <v>2</v>
      </c>
      <c r="D32" s="36">
        <v>46196</v>
      </c>
      <c r="E32" s="35" t="s">
        <v>143</v>
      </c>
      <c r="F32" s="35" t="s">
        <v>11</v>
      </c>
      <c r="G32" s="35" t="s">
        <v>12</v>
      </c>
      <c r="H32" s="39" t="s">
        <v>13</v>
      </c>
      <c r="I32" s="37">
        <v>500000</v>
      </c>
      <c r="J32" s="40">
        <v>2</v>
      </c>
      <c r="K32" s="37">
        <f>ListeE[[#This Row],[Coût d''achat]]*ListeE[[#This Row],[Quantité]]</f>
        <v>1000000</v>
      </c>
      <c r="L32" s="5"/>
    </row>
    <row r="33" spans="2:12" ht="15" thickBot="1" x14ac:dyDescent="0.4">
      <c r="B33" s="5"/>
      <c r="C33" s="2">
        <v>1</v>
      </c>
      <c r="D33" s="34">
        <v>46104</v>
      </c>
      <c r="E33" s="32" t="s">
        <v>142</v>
      </c>
      <c r="F33" s="32" t="s">
        <v>14</v>
      </c>
      <c r="G33" s="32" t="s">
        <v>12</v>
      </c>
      <c r="H33" s="2" t="s">
        <v>15</v>
      </c>
      <c r="I33" s="33">
        <v>250000</v>
      </c>
      <c r="J33" s="38">
        <v>5</v>
      </c>
      <c r="K33" s="33">
        <f>ListeE[[#This Row],[Coût d''achat]]*ListeE[[#This Row],[Quantité]]</f>
        <v>1250000</v>
      </c>
      <c r="L33" s="5"/>
    </row>
    <row r="34" spans="2:12" x14ac:dyDescent="0.35">
      <c r="B34" s="5"/>
      <c r="C34" s="5"/>
      <c r="D34" s="5"/>
      <c r="E34" s="5"/>
      <c r="F34" s="5"/>
      <c r="G34" s="13"/>
      <c r="H34" s="5"/>
      <c r="I34" s="19"/>
      <c r="J34" s="19"/>
      <c r="K34" s="19"/>
      <c r="L34" s="5"/>
    </row>
    <row r="35" spans="2:12" x14ac:dyDescent="0.35">
      <c r="B35" s="5"/>
      <c r="C35" s="5"/>
      <c r="D35" s="5"/>
      <c r="E35" s="5"/>
      <c r="F35" s="5"/>
      <c r="G35" s="13"/>
      <c r="H35" s="5"/>
      <c r="I35" s="19"/>
      <c r="J35" s="19"/>
      <c r="K35" s="19"/>
      <c r="L35" s="5"/>
    </row>
  </sheetData>
  <mergeCells count="2">
    <mergeCell ref="C3:D3"/>
    <mergeCell ref="C4:G4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4E2F1-53AA-426F-BA64-784D1EA3F738}">
  <sheetPr codeName="Feuil5"/>
  <dimension ref="A1:O139"/>
  <sheetViews>
    <sheetView zoomScale="86" zoomScaleNormal="90" workbookViewId="0">
      <selection activeCell="N6" sqref="N6"/>
    </sheetView>
  </sheetViews>
  <sheetFormatPr baseColWidth="10" defaultRowHeight="15" thickBottom="1" x14ac:dyDescent="0.4"/>
  <cols>
    <col min="1" max="1" width="12.90625" style="6" customWidth="1"/>
    <col min="2" max="2" width="2.90625" style="6" customWidth="1"/>
    <col min="3" max="3" width="12" style="48" customWidth="1"/>
    <col min="4" max="4" width="21" style="48" customWidth="1"/>
    <col min="5" max="5" width="16.453125" style="48" customWidth="1"/>
    <col min="6" max="6" width="11.08984375" style="48" customWidth="1"/>
    <col min="7" max="7" width="13.7265625" style="49" customWidth="1"/>
    <col min="8" max="8" width="14.453125" style="49" customWidth="1"/>
    <col min="9" max="9" width="13.08984375" style="49" customWidth="1"/>
    <col min="10" max="10" width="12.54296875" style="48" customWidth="1"/>
    <col min="11" max="11" width="18.54296875" style="54" customWidth="1"/>
    <col min="12" max="12" width="19.36328125" style="60" customWidth="1"/>
    <col min="13" max="13" width="18.08984375" style="54" customWidth="1"/>
    <col min="14" max="14" width="16.7265625" style="49" customWidth="1"/>
    <col min="15" max="16384" width="10.90625" style="6"/>
  </cols>
  <sheetData>
    <row r="1" spans="1:15" s="4" customFormat="1" ht="14.5" x14ac:dyDescent="0.35">
      <c r="A1" s="3"/>
      <c r="B1" s="3"/>
      <c r="C1" s="3"/>
      <c r="D1" s="3"/>
      <c r="E1" s="3"/>
      <c r="F1" s="3"/>
      <c r="G1" s="12"/>
      <c r="H1" s="12"/>
      <c r="I1" s="12"/>
      <c r="J1" s="3"/>
      <c r="K1" s="18"/>
      <c r="L1" s="55"/>
      <c r="M1" s="18"/>
      <c r="N1" s="12" t="s">
        <v>8</v>
      </c>
      <c r="O1" s="3"/>
    </row>
    <row r="2" spans="1:15" s="4" customFormat="1" ht="14.5" x14ac:dyDescent="0.35">
      <c r="A2" s="3"/>
      <c r="B2" s="3"/>
      <c r="C2" s="3"/>
      <c r="D2" s="3"/>
      <c r="E2" s="3"/>
      <c r="F2" s="3"/>
      <c r="G2" s="12"/>
      <c r="H2" s="12"/>
      <c r="I2" s="12"/>
      <c r="J2" s="3"/>
      <c r="K2" s="18"/>
      <c r="L2" s="55"/>
      <c r="M2" s="18"/>
      <c r="N2" s="12"/>
      <c r="O2" s="3"/>
    </row>
    <row r="3" spans="1:15" s="4" customFormat="1" ht="20" customHeight="1" x14ac:dyDescent="0.35">
      <c r="A3" s="3"/>
      <c r="B3" s="53"/>
      <c r="C3" s="81" t="s">
        <v>248</v>
      </c>
      <c r="D3" s="81"/>
      <c r="E3" s="5"/>
      <c r="F3" s="5"/>
      <c r="G3" s="13"/>
      <c r="H3" s="13"/>
      <c r="I3" s="13"/>
      <c r="J3" s="5"/>
      <c r="K3" s="19"/>
      <c r="L3" s="56"/>
      <c r="M3" s="19"/>
      <c r="N3" s="13"/>
      <c r="O3" s="3"/>
    </row>
    <row r="4" spans="1:15" thickBot="1" x14ac:dyDescent="0.4">
      <c r="B4" s="5"/>
      <c r="C4" s="5"/>
      <c r="D4" s="5"/>
      <c r="E4" s="5"/>
      <c r="F4" s="5"/>
      <c r="G4" s="13"/>
      <c r="H4" s="13"/>
      <c r="I4" s="13"/>
      <c r="J4" s="5"/>
      <c r="K4" s="19"/>
      <c r="L4" s="56"/>
      <c r="M4" s="19"/>
      <c r="N4" s="13"/>
    </row>
    <row r="5" spans="1:15" thickBot="1" x14ac:dyDescent="0.4">
      <c r="B5" s="5"/>
      <c r="C5" s="46" t="s">
        <v>0</v>
      </c>
      <c r="D5" s="46" t="s">
        <v>134</v>
      </c>
      <c r="E5" s="47" t="s">
        <v>2</v>
      </c>
      <c r="F5" s="47" t="s">
        <v>7</v>
      </c>
      <c r="G5" s="46" t="s">
        <v>253</v>
      </c>
      <c r="H5" s="47" t="s">
        <v>4</v>
      </c>
      <c r="I5" s="47" t="s">
        <v>254</v>
      </c>
      <c r="J5" s="47" t="s">
        <v>255</v>
      </c>
      <c r="K5" s="47" t="s">
        <v>252</v>
      </c>
      <c r="L5" s="57" t="s">
        <v>251</v>
      </c>
      <c r="M5" s="47" t="s">
        <v>250</v>
      </c>
      <c r="N5" s="47" t="s">
        <v>249</v>
      </c>
    </row>
    <row r="6" spans="1:15" thickBot="1" x14ac:dyDescent="0.4">
      <c r="B6" s="5"/>
      <c r="C6" s="48" t="str" cm="1">
        <f t="array" ref="C6:C107">_xlfn.UNIQUE(ListeM[Référence])</f>
        <v>TEL200</v>
      </c>
      <c r="D6" s="48" t="str">
        <f>VLOOKUP(C6,ListeM[],2,0)</f>
        <v>SAMSUNG A56</v>
      </c>
      <c r="E6" s="48" t="str">
        <f>VLOOKUP(C6,ListeM[],3,0)</f>
        <v>SMARTPHONE</v>
      </c>
      <c r="F6" s="48" t="str">
        <f>VLOOKUP(C6,ListeM[],4,0)</f>
        <v>PEICE</v>
      </c>
      <c r="G6" s="48">
        <f>VLOOKUP(C6,ListeM[],5,0)</f>
        <v>10</v>
      </c>
      <c r="H6" s="48">
        <f>VLOOKUP(C6,ListeM[],6,0)</f>
        <v>50</v>
      </c>
      <c r="I6" s="48">
        <f>SUMIFS(ListeE[Quantité],ListeE[Référence],Inventaires!C6)</f>
        <v>115</v>
      </c>
      <c r="J6" s="48">
        <f>SUMIFS(ListeS[Quantité],ListeS[Référence],Inventaires!C6)</f>
        <v>165</v>
      </c>
      <c r="K6" s="48">
        <f>IF((H6+I6-J6)&gt;=1,H6+I6-J6,0)</f>
        <v>0</v>
      </c>
      <c r="L6" s="58">
        <f>(SUMIF(ListeM[Référence],C6,ListeM[Total])+SUMIF(ListeE[Référence],C6,ListeE[Total]))/(H6+I6)</f>
        <v>250000</v>
      </c>
      <c r="M6" s="58">
        <f>L6*K6</f>
        <v>0</v>
      </c>
      <c r="N6" s="49" t="str">
        <f>IF(K6&gt;G6,"Stock normal",IF(K6=0,"En rupture","Stock faible"))</f>
        <v>En rupture</v>
      </c>
    </row>
    <row r="7" spans="1:15" thickBot="1" x14ac:dyDescent="0.4">
      <c r="B7" s="5"/>
      <c r="C7" s="48" t="str">
        <v>TEL104</v>
      </c>
      <c r="D7" s="48" t="str">
        <f>VLOOKUP(C7,ListeM[],2,0)</f>
        <v>IPHONE</v>
      </c>
      <c r="E7" s="48" t="str">
        <f>VLOOKUP(C7,ListeM[],3,0)</f>
        <v>SMARTPHONE</v>
      </c>
      <c r="F7" s="48" t="str">
        <f>VLOOKUP(C7,ListeM[],4,0)</f>
        <v>PIECE</v>
      </c>
      <c r="G7" s="48">
        <f>VLOOKUP(C7,ListeM[],5,0)</f>
        <v>5</v>
      </c>
      <c r="H7" s="48">
        <f>VLOOKUP(C7,ListeM[],6,0)</f>
        <v>10</v>
      </c>
      <c r="I7" s="48">
        <f>SUMIFS(ListeE[Quantité],ListeE[Référence],Inventaires!C7)</f>
        <v>107</v>
      </c>
      <c r="J7" s="48">
        <f>SUMIFS(ListeS[Quantité],ListeS[Référence],Inventaires!C7)</f>
        <v>25</v>
      </c>
      <c r="K7" s="48">
        <f t="shared" ref="K7:K70" si="0">IF((H7+I7-J7)&gt;=1,H7+I7-J7,0)</f>
        <v>92</v>
      </c>
      <c r="L7" s="58">
        <f>(SUMIF(ListeM[Référence],C7,ListeM[Total])+SUMIF(ListeE[Référence],C7,ListeE[Total]))/(H7+I7)</f>
        <v>500000</v>
      </c>
      <c r="M7" s="58">
        <f t="shared" ref="M7:M70" si="1">L7*K7</f>
        <v>46000000</v>
      </c>
      <c r="N7" s="49" t="str">
        <f t="shared" ref="N7:N70" si="2">IF(K7&gt;G7,"Stock normal",IF(K7=0,"En rupture","Stock faible"))</f>
        <v>Stock normal</v>
      </c>
    </row>
    <row r="8" spans="1:15" thickBot="1" x14ac:dyDescent="0.4">
      <c r="B8" s="5"/>
      <c r="C8" s="48" t="str">
        <v>TEL001</v>
      </c>
      <c r="D8" s="48" t="str">
        <f>VLOOKUP(C8,ListeM[],2,0)</f>
        <v>SAMSUNG A15</v>
      </c>
      <c r="E8" s="48" t="str">
        <f>VLOOKUP(C8,ListeM[],3,0)</f>
        <v>SMARTPHONE</v>
      </c>
      <c r="F8" s="48" t="str">
        <f>VLOOKUP(C8,ListeM[],4,0)</f>
        <v>PIECE</v>
      </c>
      <c r="G8" s="48">
        <f>VLOOKUP(C8,ListeM[],5,0)</f>
        <v>10</v>
      </c>
      <c r="H8" s="48">
        <f>VLOOKUP(C8,ListeM[],6,0)</f>
        <v>40</v>
      </c>
      <c r="I8" s="48">
        <f>SUMIFS(ListeE[Quantité],ListeE[Référence],Inventaires!C8)</f>
        <v>36</v>
      </c>
      <c r="J8" s="48">
        <f>SUMIFS(ListeS[Quantité],ListeS[Référence],Inventaires!C8)</f>
        <v>50</v>
      </c>
      <c r="K8" s="48">
        <f t="shared" si="0"/>
        <v>26</v>
      </c>
      <c r="L8" s="58">
        <f>(SUMIF(ListeM[Référence],C8,ListeM[Total])+SUMIF(ListeE[Référence],C8,ListeE[Total]))/(H8+I8)</f>
        <v>180000</v>
      </c>
      <c r="M8" s="58">
        <f t="shared" si="1"/>
        <v>4680000</v>
      </c>
      <c r="N8" s="49" t="str">
        <f t="shared" si="2"/>
        <v>Stock normal</v>
      </c>
    </row>
    <row r="9" spans="1:15" thickBot="1" x14ac:dyDescent="0.4">
      <c r="B9" s="5"/>
      <c r="C9" s="48" t="str">
        <v>TEL002</v>
      </c>
      <c r="D9" s="48" t="str">
        <f>VLOOKUP(C9,ListeM[],2,0)</f>
        <v>SAMSUNG A55</v>
      </c>
      <c r="E9" s="48" t="str">
        <f>VLOOKUP(C9,ListeM[],3,0)</f>
        <v>SMARTPHONE</v>
      </c>
      <c r="F9" s="48" t="str">
        <f>VLOOKUP(C9,ListeM[],4,0)</f>
        <v>PIECE</v>
      </c>
      <c r="G9" s="48">
        <f>VLOOKUP(C9,ListeM[],5,0)</f>
        <v>10</v>
      </c>
      <c r="H9" s="48">
        <f>VLOOKUP(C9,ListeM[],6,0)</f>
        <v>50</v>
      </c>
      <c r="I9" s="48">
        <f>SUMIFS(ListeE[Quantité],ListeE[Référence],Inventaires!C9)</f>
        <v>147</v>
      </c>
      <c r="J9" s="48">
        <f>SUMIFS(ListeS[Quantité],ListeS[Référence],Inventaires!C9)</f>
        <v>135</v>
      </c>
      <c r="K9" s="48">
        <f t="shared" si="0"/>
        <v>62</v>
      </c>
      <c r="L9" s="58">
        <f>(SUMIF(ListeM[Référence],C9,ListeM[Total])+SUMIF(ListeE[Référence],C9,ListeE[Total]))/(H9+I9)</f>
        <v>250000</v>
      </c>
      <c r="M9" s="58">
        <f t="shared" si="1"/>
        <v>15500000</v>
      </c>
      <c r="N9" s="49" t="str">
        <f t="shared" si="2"/>
        <v>Stock normal</v>
      </c>
    </row>
    <row r="10" spans="1:15" thickBot="1" x14ac:dyDescent="0.4">
      <c r="B10" s="5"/>
      <c r="C10" s="48" t="str">
        <v>TEL003</v>
      </c>
      <c r="D10" s="48" t="str">
        <f>VLOOKUP(C10,ListeM[],2,0)</f>
        <v>IPHONE 11</v>
      </c>
      <c r="E10" s="48" t="str">
        <f>VLOOKUP(C10,ListeM[],3,0)</f>
        <v>SMARTPHONE</v>
      </c>
      <c r="F10" s="48" t="str">
        <f>VLOOKUP(C10,ListeM[],4,0)</f>
        <v>PIECE</v>
      </c>
      <c r="G10" s="48">
        <f>VLOOKUP(C10,ListeM[],5,0)</f>
        <v>5</v>
      </c>
      <c r="H10" s="48">
        <f>VLOOKUP(C10,ListeM[],6,0)</f>
        <v>30</v>
      </c>
      <c r="I10" s="48">
        <f>SUMIFS(ListeE[Quantité],ListeE[Référence],Inventaires!C10)</f>
        <v>5</v>
      </c>
      <c r="J10" s="48">
        <f>SUMIFS(ListeS[Quantité],ListeS[Référence],Inventaires!C10)</f>
        <v>0</v>
      </c>
      <c r="K10" s="48">
        <f t="shared" si="0"/>
        <v>35</v>
      </c>
      <c r="L10" s="58">
        <f>(SUMIF(ListeM[Référence],C10,ListeM[Total])+SUMIF(ListeE[Référence],C10,ListeE[Total]))/(H10+I10)</f>
        <v>300000</v>
      </c>
      <c r="M10" s="58">
        <f t="shared" si="1"/>
        <v>10500000</v>
      </c>
      <c r="N10" s="49" t="str">
        <f t="shared" si="2"/>
        <v>Stock normal</v>
      </c>
    </row>
    <row r="11" spans="1:15" thickBot="1" x14ac:dyDescent="0.4">
      <c r="B11" s="5"/>
      <c r="C11" s="48" t="str">
        <v>TEL004</v>
      </c>
      <c r="D11" s="48" t="str">
        <f>VLOOKUP(C11,ListeM[],2,0)</f>
        <v>IPHONE 13</v>
      </c>
      <c r="E11" s="48" t="str">
        <f>VLOOKUP(C11,ListeM[],3,0)</f>
        <v>SMARTPHONE</v>
      </c>
      <c r="F11" s="48" t="str">
        <f>VLOOKUP(C11,ListeM[],4,0)</f>
        <v>PIECE</v>
      </c>
      <c r="G11" s="48">
        <f>VLOOKUP(C11,ListeM[],5,0)</f>
        <v>5</v>
      </c>
      <c r="H11" s="48">
        <f>VLOOKUP(C11,ListeM[],6,0)</f>
        <v>25</v>
      </c>
      <c r="I11" s="48">
        <f>SUMIFS(ListeE[Quantité],ListeE[Référence],Inventaires!C11)</f>
        <v>57</v>
      </c>
      <c r="J11" s="48">
        <f>SUMIFS(ListeS[Quantité],ListeS[Référence],Inventaires!C11)</f>
        <v>32</v>
      </c>
      <c r="K11" s="48">
        <f t="shared" si="0"/>
        <v>50</v>
      </c>
      <c r="L11" s="58">
        <f>(SUMIF(ListeM[Référence],C11,ListeM[Total])+SUMIF(ListeE[Référence],C11,ListeE[Total]))/(H11+I11)</f>
        <v>550000</v>
      </c>
      <c r="M11" s="58">
        <f t="shared" si="1"/>
        <v>27500000</v>
      </c>
      <c r="N11" s="49" t="str">
        <f t="shared" si="2"/>
        <v>Stock normal</v>
      </c>
    </row>
    <row r="12" spans="1:15" thickBot="1" x14ac:dyDescent="0.4">
      <c r="B12" s="5"/>
      <c r="C12" s="48" t="str">
        <v>TEL005</v>
      </c>
      <c r="D12" s="48" t="str">
        <f>VLOOKUP(C12,ListeM[],2,0)</f>
        <v>INFINIX HOT 30</v>
      </c>
      <c r="E12" s="48" t="str">
        <f>VLOOKUP(C12,ListeM[],3,0)</f>
        <v>SMARTPHONE</v>
      </c>
      <c r="F12" s="48" t="str">
        <f>VLOOKUP(C12,ListeM[],4,0)</f>
        <v>PIECE</v>
      </c>
      <c r="G12" s="48">
        <f>VLOOKUP(C12,ListeM[],5,0)</f>
        <v>15</v>
      </c>
      <c r="H12" s="48">
        <f>VLOOKUP(C12,ListeM[],6,0)</f>
        <v>60</v>
      </c>
      <c r="I12" s="48">
        <f>SUMIFS(ListeE[Quantité],ListeE[Référence],Inventaires!C12)</f>
        <v>0</v>
      </c>
      <c r="J12" s="48">
        <f>SUMIFS(ListeS[Quantité],ListeS[Référence],Inventaires!C12)</f>
        <v>0</v>
      </c>
      <c r="K12" s="48">
        <f t="shared" si="0"/>
        <v>60</v>
      </c>
      <c r="L12" s="58">
        <f>(SUMIF(ListeM[Référence],C12,ListeM[Total])+SUMIF(ListeE[Référence],C12,ListeE[Total]))/(H12+I12)</f>
        <v>120000</v>
      </c>
      <c r="M12" s="58">
        <f t="shared" si="1"/>
        <v>7200000</v>
      </c>
      <c r="N12" s="49" t="str">
        <f t="shared" si="2"/>
        <v>Stock normal</v>
      </c>
    </row>
    <row r="13" spans="1:15" thickBot="1" x14ac:dyDescent="0.4">
      <c r="B13" s="5"/>
      <c r="C13" s="48" t="str">
        <v>TEL006</v>
      </c>
      <c r="D13" s="48" t="str">
        <f>VLOOKUP(C13,ListeM[],2,0)</f>
        <v>TECNO SPARK 10</v>
      </c>
      <c r="E13" s="48" t="str">
        <f>VLOOKUP(C13,ListeM[],3,0)</f>
        <v>SMARTPHONE</v>
      </c>
      <c r="F13" s="48" t="str">
        <f>VLOOKUP(C13,ListeM[],4,0)</f>
        <v>PIECE</v>
      </c>
      <c r="G13" s="48">
        <f>VLOOKUP(C13,ListeM[],5,0)</f>
        <v>15</v>
      </c>
      <c r="H13" s="48">
        <f>VLOOKUP(C13,ListeM[],6,0)</f>
        <v>70</v>
      </c>
      <c r="I13" s="48">
        <f>SUMIFS(ListeE[Quantité],ListeE[Référence],Inventaires!C13)</f>
        <v>8</v>
      </c>
      <c r="J13" s="48">
        <f>SUMIFS(ListeS[Quantité],ListeS[Référence],Inventaires!C13)</f>
        <v>0</v>
      </c>
      <c r="K13" s="48">
        <f t="shared" si="0"/>
        <v>78</v>
      </c>
      <c r="L13" s="58">
        <f>(SUMIF(ListeM[Référence],C13,ListeM[Total])+SUMIF(ListeE[Référence],C13,ListeE[Total]))/(H13+I13)</f>
        <v>110000</v>
      </c>
      <c r="M13" s="58">
        <f t="shared" si="1"/>
        <v>8580000</v>
      </c>
      <c r="N13" s="49" t="str">
        <f t="shared" si="2"/>
        <v>Stock normal</v>
      </c>
    </row>
    <row r="14" spans="1:15" thickBot="1" x14ac:dyDescent="0.4">
      <c r="B14" s="5"/>
      <c r="C14" s="48" t="str">
        <v>TEL007</v>
      </c>
      <c r="D14" s="48" t="str">
        <f>VLOOKUP(C14,ListeM[],2,0)</f>
        <v>REDMI NOTE 12</v>
      </c>
      <c r="E14" s="48" t="str">
        <f>VLOOKUP(C14,ListeM[],3,0)</f>
        <v>SMARTPHONE</v>
      </c>
      <c r="F14" s="48" t="str">
        <f>VLOOKUP(C14,ListeM[],4,0)</f>
        <v>PIECE</v>
      </c>
      <c r="G14" s="48">
        <f>VLOOKUP(C14,ListeM[],5,0)</f>
        <v>10</v>
      </c>
      <c r="H14" s="48">
        <f>VLOOKUP(C14,ListeM[],6,0)</f>
        <v>45</v>
      </c>
      <c r="I14" s="48">
        <f>SUMIFS(ListeE[Quantité],ListeE[Référence],Inventaires!C14)</f>
        <v>50</v>
      </c>
      <c r="J14" s="48">
        <f>SUMIFS(ListeS[Quantité],ListeS[Référence],Inventaires!C14)</f>
        <v>0</v>
      </c>
      <c r="K14" s="48">
        <f t="shared" si="0"/>
        <v>95</v>
      </c>
      <c r="L14" s="58">
        <f>(SUMIF(ListeM[Référence],C14,ListeM[Total])+SUMIF(ListeE[Référence],C14,ListeE[Total]))/(H14+I14)</f>
        <v>160000</v>
      </c>
      <c r="M14" s="58">
        <f t="shared" si="1"/>
        <v>15200000</v>
      </c>
      <c r="N14" s="49" t="str">
        <f t="shared" si="2"/>
        <v>Stock normal</v>
      </c>
    </row>
    <row r="15" spans="1:15" thickBot="1" x14ac:dyDescent="0.4">
      <c r="B15" s="5"/>
      <c r="C15" s="48" t="str">
        <v>TEL008</v>
      </c>
      <c r="D15" s="48" t="str">
        <f>VLOOKUP(C15,ListeM[],2,0)</f>
        <v>SAMSUNG S23</v>
      </c>
      <c r="E15" s="48" t="str">
        <f>VLOOKUP(C15,ListeM[],3,0)</f>
        <v>SMARTPHONE</v>
      </c>
      <c r="F15" s="48" t="str">
        <f>VLOOKUP(C15,ListeM[],4,0)</f>
        <v>PIECE</v>
      </c>
      <c r="G15" s="48">
        <f>VLOOKUP(C15,ListeM[],5,0)</f>
        <v>5</v>
      </c>
      <c r="H15" s="48">
        <f>VLOOKUP(C15,ListeM[],6,0)</f>
        <v>20</v>
      </c>
      <c r="I15" s="48">
        <f>SUMIFS(ListeE[Quantité],ListeE[Référence],Inventaires!C15)</f>
        <v>0</v>
      </c>
      <c r="J15" s="48">
        <f>SUMIFS(ListeS[Quantité],ListeS[Référence],Inventaires!C15)</f>
        <v>20</v>
      </c>
      <c r="K15" s="48">
        <f t="shared" si="0"/>
        <v>0</v>
      </c>
      <c r="L15" s="58">
        <f>(SUMIF(ListeM[Référence],C15,ListeM[Total])+SUMIF(ListeE[Référence],C15,ListeE[Total]))/(H15+I15)</f>
        <v>650000</v>
      </c>
      <c r="M15" s="58">
        <f t="shared" si="1"/>
        <v>0</v>
      </c>
      <c r="N15" s="49" t="str">
        <f t="shared" si="2"/>
        <v>En rupture</v>
      </c>
    </row>
    <row r="16" spans="1:15" thickBot="1" x14ac:dyDescent="0.4">
      <c r="B16" s="5"/>
      <c r="C16" s="48" t="str">
        <v>TEL009</v>
      </c>
      <c r="D16" s="48" t="str">
        <f>VLOOKUP(C16,ListeM[],2,0)</f>
        <v>IPHONE 14</v>
      </c>
      <c r="E16" s="48" t="str">
        <f>VLOOKUP(C16,ListeM[],3,0)</f>
        <v>SMARTPHONE</v>
      </c>
      <c r="F16" s="48" t="str">
        <f>VLOOKUP(C16,ListeM[],4,0)</f>
        <v>PIECE</v>
      </c>
      <c r="G16" s="48">
        <f>VLOOKUP(C16,ListeM[],5,0)</f>
        <v>5</v>
      </c>
      <c r="H16" s="48">
        <f>VLOOKUP(C16,ListeM[],6,0)</f>
        <v>15</v>
      </c>
      <c r="I16" s="48">
        <f>SUMIFS(ListeE[Quantité],ListeE[Référence],Inventaires!C16)</f>
        <v>0</v>
      </c>
      <c r="J16" s="48">
        <f>SUMIFS(ListeS[Quantité],ListeS[Référence],Inventaires!C16)</f>
        <v>11</v>
      </c>
      <c r="K16" s="48">
        <f t="shared" si="0"/>
        <v>4</v>
      </c>
      <c r="L16" s="58">
        <f>(SUMIF(ListeM[Référence],C16,ListeM[Total])+SUMIF(ListeE[Référence],C16,ListeE[Total]))/(H16+I16)</f>
        <v>750000</v>
      </c>
      <c r="M16" s="58">
        <f t="shared" si="1"/>
        <v>3000000</v>
      </c>
      <c r="N16" s="49" t="str">
        <f t="shared" si="2"/>
        <v>Stock faible</v>
      </c>
    </row>
    <row r="17" spans="2:14" thickBot="1" x14ac:dyDescent="0.4">
      <c r="B17" s="5"/>
      <c r="C17" s="48" t="str">
        <v>TEL010</v>
      </c>
      <c r="D17" s="48" t="str">
        <f>VLOOKUP(C17,ListeM[],2,0)</f>
        <v>TECNO CAMON 20</v>
      </c>
      <c r="E17" s="48" t="str">
        <f>VLOOKUP(C17,ListeM[],3,0)</f>
        <v>SMARTPHONE</v>
      </c>
      <c r="F17" s="48" t="str">
        <f>VLOOKUP(C17,ListeM[],4,0)</f>
        <v>PIECE</v>
      </c>
      <c r="G17" s="48">
        <f>VLOOKUP(C17,ListeM[],5,0)</f>
        <v>10</v>
      </c>
      <c r="H17" s="48">
        <f>VLOOKUP(C17,ListeM[],6,0)</f>
        <v>50</v>
      </c>
      <c r="I17" s="48">
        <f>SUMIFS(ListeE[Quantité],ListeE[Référence],Inventaires!C17)</f>
        <v>15</v>
      </c>
      <c r="J17" s="48">
        <f>SUMIFS(ListeS[Quantité],ListeS[Référence],Inventaires!C17)</f>
        <v>48</v>
      </c>
      <c r="K17" s="48">
        <f t="shared" si="0"/>
        <v>17</v>
      </c>
      <c r="L17" s="58">
        <f>(SUMIF(ListeM[Référence],C17,ListeM[Total])+SUMIF(ListeE[Référence],C17,ListeE[Total]))/(H17+I17)</f>
        <v>150000</v>
      </c>
      <c r="M17" s="58">
        <f t="shared" si="1"/>
        <v>2550000</v>
      </c>
      <c r="N17" s="49" t="str">
        <f t="shared" si="2"/>
        <v>Stock normal</v>
      </c>
    </row>
    <row r="18" spans="2:14" thickBot="1" x14ac:dyDescent="0.4">
      <c r="B18" s="5"/>
      <c r="C18" s="48" t="str">
        <v>ACC011</v>
      </c>
      <c r="D18" s="48" t="str">
        <f>VLOOKUP(C18,ListeM[],2,0)</f>
        <v>CHARGEUR SAMSUNG</v>
      </c>
      <c r="E18" s="48" t="str">
        <f>VLOOKUP(C18,ListeM[],3,0)</f>
        <v>ACCESSOIRE</v>
      </c>
      <c r="F18" s="48" t="str">
        <f>VLOOKUP(C18,ListeM[],4,0)</f>
        <v>PIECE</v>
      </c>
      <c r="G18" s="48">
        <f>VLOOKUP(C18,ListeM[],5,0)</f>
        <v>20</v>
      </c>
      <c r="H18" s="48">
        <f>VLOOKUP(C18,ListeM[],6,0)</f>
        <v>100</v>
      </c>
      <c r="I18" s="48">
        <f>SUMIFS(ListeE[Quantité],ListeE[Référence],Inventaires!C18)</f>
        <v>10</v>
      </c>
      <c r="J18" s="48">
        <f>SUMIFS(ListeS[Quantité],ListeS[Référence],Inventaires!C18)</f>
        <v>0</v>
      </c>
      <c r="K18" s="48">
        <f t="shared" si="0"/>
        <v>110</v>
      </c>
      <c r="L18" s="58">
        <f>(SUMIF(ListeM[Référence],C18,ListeM[Total])+SUMIF(ListeE[Référence],C18,ListeE[Total]))/(H18+I18)</f>
        <v>5000</v>
      </c>
      <c r="M18" s="58">
        <f t="shared" si="1"/>
        <v>550000</v>
      </c>
      <c r="N18" s="49" t="str">
        <f t="shared" si="2"/>
        <v>Stock normal</v>
      </c>
    </row>
    <row r="19" spans="2:14" thickBot="1" x14ac:dyDescent="0.4">
      <c r="B19" s="5"/>
      <c r="C19" s="48" t="str">
        <v>ACC012</v>
      </c>
      <c r="D19" s="48" t="str">
        <f>VLOOKUP(C19,ListeM[],2,0)</f>
        <v>CHARGEUR IPHONE</v>
      </c>
      <c r="E19" s="48" t="str">
        <f>VLOOKUP(C19,ListeM[],3,0)</f>
        <v>ACCESSOIRE</v>
      </c>
      <c r="F19" s="48" t="str">
        <f>VLOOKUP(C19,ListeM[],4,0)</f>
        <v>PIECE</v>
      </c>
      <c r="G19" s="48">
        <f>VLOOKUP(C19,ListeM[],5,0)</f>
        <v>20</v>
      </c>
      <c r="H19" s="48">
        <f>VLOOKUP(C19,ListeM[],6,0)</f>
        <v>90</v>
      </c>
      <c r="I19" s="48">
        <f>SUMIFS(ListeE[Quantité],ListeE[Référence],Inventaires!C19)</f>
        <v>0</v>
      </c>
      <c r="J19" s="48">
        <f>SUMIFS(ListeS[Quantité],ListeS[Référence],Inventaires!C19)</f>
        <v>0</v>
      </c>
      <c r="K19" s="48">
        <f t="shared" si="0"/>
        <v>90</v>
      </c>
      <c r="L19" s="58">
        <f>(SUMIF(ListeM[Référence],C19,ListeM[Total])+SUMIF(ListeE[Référence],C19,ListeE[Total]))/(H19+I19)</f>
        <v>8000</v>
      </c>
      <c r="M19" s="58">
        <f t="shared" si="1"/>
        <v>720000</v>
      </c>
      <c r="N19" s="49" t="str">
        <f t="shared" si="2"/>
        <v>Stock normal</v>
      </c>
    </row>
    <row r="20" spans="2:14" thickBot="1" x14ac:dyDescent="0.4">
      <c r="B20" s="5"/>
      <c r="C20" s="48" t="str">
        <v>ACC013</v>
      </c>
      <c r="D20" s="48" t="str">
        <f>VLOOKUP(C20,ListeM[],2,0)</f>
        <v>CABLE USB-C</v>
      </c>
      <c r="E20" s="48" t="str">
        <f>VLOOKUP(C20,ListeM[],3,0)</f>
        <v>ACCESSOIRE</v>
      </c>
      <c r="F20" s="48" t="str">
        <f>VLOOKUP(C20,ListeM[],4,0)</f>
        <v>PIECE</v>
      </c>
      <c r="G20" s="48">
        <f>VLOOKUP(C20,ListeM[],5,0)</f>
        <v>30</v>
      </c>
      <c r="H20" s="48">
        <f>VLOOKUP(C20,ListeM[],6,0)</f>
        <v>150</v>
      </c>
      <c r="I20" s="48">
        <f>SUMIFS(ListeE[Quantité],ListeE[Référence],Inventaires!C20)</f>
        <v>0</v>
      </c>
      <c r="J20" s="48">
        <f>SUMIFS(ListeS[Quantité],ListeS[Référence],Inventaires!C20)</f>
        <v>0</v>
      </c>
      <c r="K20" s="48">
        <f t="shared" si="0"/>
        <v>150</v>
      </c>
      <c r="L20" s="58">
        <f>(SUMIF(ListeM[Référence],C20,ListeM[Total])+SUMIF(ListeE[Référence],C20,ListeE[Total]))/(H20+I20)</f>
        <v>2000</v>
      </c>
      <c r="M20" s="58">
        <f t="shared" si="1"/>
        <v>300000</v>
      </c>
      <c r="N20" s="49" t="str">
        <f t="shared" si="2"/>
        <v>Stock normal</v>
      </c>
    </row>
    <row r="21" spans="2:14" thickBot="1" x14ac:dyDescent="0.4">
      <c r="B21" s="5"/>
      <c r="C21" s="48" t="str">
        <v>ACC014</v>
      </c>
      <c r="D21" s="48" t="str">
        <f>VLOOKUP(C21,ListeM[],2,0)</f>
        <v>CABLE LIGHTNING</v>
      </c>
      <c r="E21" s="48" t="str">
        <f>VLOOKUP(C21,ListeM[],3,0)</f>
        <v>ACCESSOIRE</v>
      </c>
      <c r="F21" s="48" t="str">
        <f>VLOOKUP(C21,ListeM[],4,0)</f>
        <v>PIECE</v>
      </c>
      <c r="G21" s="48">
        <f>VLOOKUP(C21,ListeM[],5,0)</f>
        <v>30</v>
      </c>
      <c r="H21" s="48">
        <f>VLOOKUP(C21,ListeM[],6,0)</f>
        <v>120</v>
      </c>
      <c r="I21" s="48">
        <f>SUMIFS(ListeE[Quantité],ListeE[Référence],Inventaires!C21)</f>
        <v>0</v>
      </c>
      <c r="J21" s="48">
        <f>SUMIFS(ListeS[Quantité],ListeS[Référence],Inventaires!C21)</f>
        <v>9</v>
      </c>
      <c r="K21" s="48">
        <f t="shared" si="0"/>
        <v>111</v>
      </c>
      <c r="L21" s="58">
        <f>(SUMIF(ListeM[Référence],C21,ListeM[Total])+SUMIF(ListeE[Référence],C21,ListeE[Total]))/(H21+I21)</f>
        <v>3000</v>
      </c>
      <c r="M21" s="58">
        <f t="shared" si="1"/>
        <v>333000</v>
      </c>
      <c r="N21" s="49" t="str">
        <f t="shared" si="2"/>
        <v>Stock normal</v>
      </c>
    </row>
    <row r="22" spans="2:14" thickBot="1" x14ac:dyDescent="0.4">
      <c r="B22" s="5"/>
      <c r="C22" s="48" t="str">
        <v>ACC015</v>
      </c>
      <c r="D22" s="48" t="str">
        <f>VLOOKUP(C22,ListeM[],2,0)</f>
        <v>ECOUTEURS BLUETOOTH</v>
      </c>
      <c r="E22" s="48" t="str">
        <f>VLOOKUP(C22,ListeM[],3,0)</f>
        <v>ACCESSOIRE</v>
      </c>
      <c r="F22" s="48" t="str">
        <f>VLOOKUP(C22,ListeM[],4,0)</f>
        <v>PIECE</v>
      </c>
      <c r="G22" s="48">
        <f>VLOOKUP(C22,ListeM[],5,0)</f>
        <v>15</v>
      </c>
      <c r="H22" s="48">
        <f>VLOOKUP(C22,ListeM[],6,0)</f>
        <v>80</v>
      </c>
      <c r="I22" s="48">
        <f>SUMIFS(ListeE[Quantité],ListeE[Référence],Inventaires!C22)</f>
        <v>0</v>
      </c>
      <c r="J22" s="48">
        <f>SUMIFS(ListeS[Quantité],ListeS[Référence],Inventaires!C22)</f>
        <v>0</v>
      </c>
      <c r="K22" s="48">
        <f t="shared" si="0"/>
        <v>80</v>
      </c>
      <c r="L22" s="58">
        <f>(SUMIF(ListeM[Référence],C22,ListeM[Total])+SUMIF(ListeE[Référence],C22,ListeE[Total]))/(H22+I22)</f>
        <v>15000</v>
      </c>
      <c r="M22" s="58">
        <f t="shared" si="1"/>
        <v>1200000</v>
      </c>
      <c r="N22" s="49" t="str">
        <f t="shared" si="2"/>
        <v>Stock normal</v>
      </c>
    </row>
    <row r="23" spans="2:14" thickBot="1" x14ac:dyDescent="0.4">
      <c r="B23" s="5"/>
      <c r="C23" s="48" t="str">
        <v>ACC016</v>
      </c>
      <c r="D23" s="48" t="str">
        <f>VLOOKUP(C23,ListeM[],2,0)</f>
        <v>CASQUE AUDIO</v>
      </c>
      <c r="E23" s="48" t="str">
        <f>VLOOKUP(C23,ListeM[],3,0)</f>
        <v>ACCESSOIRE</v>
      </c>
      <c r="F23" s="48" t="str">
        <f>VLOOKUP(C23,ListeM[],4,0)</f>
        <v>PIECE</v>
      </c>
      <c r="G23" s="48">
        <f>VLOOKUP(C23,ListeM[],5,0)</f>
        <v>10</v>
      </c>
      <c r="H23" s="48">
        <f>VLOOKUP(C23,ListeM[],6,0)</f>
        <v>60</v>
      </c>
      <c r="I23" s="48">
        <f>SUMIFS(ListeE[Quantité],ListeE[Référence],Inventaires!C23)</f>
        <v>0</v>
      </c>
      <c r="J23" s="48">
        <f>SUMIFS(ListeS[Quantité],ListeS[Référence],Inventaires!C23)</f>
        <v>0</v>
      </c>
      <c r="K23" s="48">
        <f t="shared" si="0"/>
        <v>60</v>
      </c>
      <c r="L23" s="58">
        <f>(SUMIF(ListeM[Référence],C23,ListeM[Total])+SUMIF(ListeE[Référence],C23,ListeE[Total]))/(H23+I23)</f>
        <v>20000</v>
      </c>
      <c r="M23" s="58">
        <f t="shared" si="1"/>
        <v>1200000</v>
      </c>
      <c r="N23" s="49" t="str">
        <f t="shared" si="2"/>
        <v>Stock normal</v>
      </c>
    </row>
    <row r="24" spans="2:14" thickBot="1" x14ac:dyDescent="0.4">
      <c r="B24" s="5"/>
      <c r="C24" s="48" t="str">
        <v>ACC017</v>
      </c>
      <c r="D24" s="48" t="str">
        <f>VLOOKUP(C24,ListeM[],2,0)</f>
        <v>POWER BANK 10000MAH</v>
      </c>
      <c r="E24" s="48" t="str">
        <f>VLOOKUP(C24,ListeM[],3,0)</f>
        <v>ACCESSOIRE</v>
      </c>
      <c r="F24" s="48" t="str">
        <f>VLOOKUP(C24,ListeM[],4,0)</f>
        <v>PIECE</v>
      </c>
      <c r="G24" s="48">
        <f>VLOOKUP(C24,ListeM[],5,0)</f>
        <v>10</v>
      </c>
      <c r="H24" s="48">
        <f>VLOOKUP(C24,ListeM[],6,0)</f>
        <v>70</v>
      </c>
      <c r="I24" s="48">
        <f>SUMIFS(ListeE[Quantité],ListeE[Référence],Inventaires!C24)</f>
        <v>0</v>
      </c>
      <c r="J24" s="48">
        <f>SUMIFS(ListeS[Quantité],ListeS[Référence],Inventaires!C24)</f>
        <v>0</v>
      </c>
      <c r="K24" s="48">
        <f t="shared" si="0"/>
        <v>70</v>
      </c>
      <c r="L24" s="58">
        <f>(SUMIF(ListeM[Référence],C24,ListeM[Total])+SUMIF(ListeE[Référence],C24,ListeE[Total]))/(H24+I24)</f>
        <v>12000</v>
      </c>
      <c r="M24" s="58">
        <f t="shared" si="1"/>
        <v>840000</v>
      </c>
      <c r="N24" s="49" t="str">
        <f t="shared" si="2"/>
        <v>Stock normal</v>
      </c>
    </row>
    <row r="25" spans="2:14" thickBot="1" x14ac:dyDescent="0.4">
      <c r="B25" s="5"/>
      <c r="C25" s="48" t="str">
        <v>ACC018</v>
      </c>
      <c r="D25" s="48" t="str">
        <f>VLOOKUP(C25,ListeM[],2,0)</f>
        <v>POWER BANK 20000MAH</v>
      </c>
      <c r="E25" s="48" t="str">
        <f>VLOOKUP(C25,ListeM[],3,0)</f>
        <v>ACCESSOIRE</v>
      </c>
      <c r="F25" s="48" t="str">
        <f>VLOOKUP(C25,ListeM[],4,0)</f>
        <v>PIECE</v>
      </c>
      <c r="G25" s="48">
        <f>VLOOKUP(C25,ListeM[],5,0)</f>
        <v>10</v>
      </c>
      <c r="H25" s="48">
        <f>VLOOKUP(C25,ListeM[],6,0)</f>
        <v>50</v>
      </c>
      <c r="I25" s="48">
        <f>SUMIFS(ListeE[Quantité],ListeE[Référence],Inventaires!C25)</f>
        <v>0</v>
      </c>
      <c r="J25" s="48">
        <f>SUMIFS(ListeS[Quantité],ListeS[Référence],Inventaires!C25)</f>
        <v>39</v>
      </c>
      <c r="K25" s="48">
        <f t="shared" si="0"/>
        <v>11</v>
      </c>
      <c r="L25" s="58">
        <f>(SUMIF(ListeM[Référence],C25,ListeM[Total])+SUMIF(ListeE[Référence],C25,ListeE[Total]))/(H25+I25)</f>
        <v>20000</v>
      </c>
      <c r="M25" s="58">
        <f t="shared" si="1"/>
        <v>220000</v>
      </c>
      <c r="N25" s="49" t="str">
        <f t="shared" si="2"/>
        <v>Stock normal</v>
      </c>
    </row>
    <row r="26" spans="2:14" thickBot="1" x14ac:dyDescent="0.4">
      <c r="B26" s="5"/>
      <c r="C26" s="48" t="str">
        <v>ACC019</v>
      </c>
      <c r="D26" s="48" t="str">
        <f>VLOOKUP(C26,ListeM[],2,0)</f>
        <v>COQUE IPHONE</v>
      </c>
      <c r="E26" s="48" t="str">
        <f>VLOOKUP(C26,ListeM[],3,0)</f>
        <v>ACCESSOIRE</v>
      </c>
      <c r="F26" s="48" t="str">
        <f>VLOOKUP(C26,ListeM[],4,0)</f>
        <v>PIECE</v>
      </c>
      <c r="G26" s="48">
        <f>VLOOKUP(C26,ListeM[],5,0)</f>
        <v>25</v>
      </c>
      <c r="H26" s="48">
        <f>VLOOKUP(C26,ListeM[],6,0)</f>
        <v>200</v>
      </c>
      <c r="I26" s="48">
        <f>SUMIFS(ListeE[Quantité],ListeE[Référence],Inventaires!C26)</f>
        <v>9</v>
      </c>
      <c r="J26" s="48">
        <f>SUMIFS(ListeS[Quantité],ListeS[Référence],Inventaires!C26)</f>
        <v>0</v>
      </c>
      <c r="K26" s="48">
        <f t="shared" si="0"/>
        <v>209</v>
      </c>
      <c r="L26" s="58">
        <f>(SUMIF(ListeM[Référence],C26,ListeM[Total])+SUMIF(ListeE[Référence],C26,ListeE[Total]))/(H26+I26)</f>
        <v>3000</v>
      </c>
      <c r="M26" s="58">
        <f t="shared" si="1"/>
        <v>627000</v>
      </c>
      <c r="N26" s="49" t="str">
        <f t="shared" si="2"/>
        <v>Stock normal</v>
      </c>
    </row>
    <row r="27" spans="2:14" thickBot="1" x14ac:dyDescent="0.4">
      <c r="B27" s="5"/>
      <c r="C27" s="48" t="str">
        <v>ACC020</v>
      </c>
      <c r="D27" s="48" t="str">
        <f>VLOOKUP(C27,ListeM[],2,0)</f>
        <v>COQUE SAMSUNG</v>
      </c>
      <c r="E27" s="48" t="str">
        <f>VLOOKUP(C27,ListeM[],3,0)</f>
        <v>ACCESSOIRE</v>
      </c>
      <c r="F27" s="48" t="str">
        <f>VLOOKUP(C27,ListeM[],4,0)</f>
        <v>PIECE</v>
      </c>
      <c r="G27" s="48">
        <f>VLOOKUP(C27,ListeM[],5,0)</f>
        <v>25</v>
      </c>
      <c r="H27" s="48">
        <f>VLOOKUP(C27,ListeM[],6,0)</f>
        <v>180</v>
      </c>
      <c r="I27" s="48">
        <f>SUMIFS(ListeE[Quantité],ListeE[Référence],Inventaires!C27)</f>
        <v>0</v>
      </c>
      <c r="J27" s="48">
        <f>SUMIFS(ListeS[Quantité],ListeS[Référence],Inventaires!C27)</f>
        <v>0</v>
      </c>
      <c r="K27" s="48">
        <f t="shared" si="0"/>
        <v>180</v>
      </c>
      <c r="L27" s="58">
        <f>(SUMIF(ListeM[Référence],C27,ListeM[Total])+SUMIF(ListeE[Référence],C27,ListeE[Total]))/(H27+I27)</f>
        <v>2500</v>
      </c>
      <c r="M27" s="58">
        <f t="shared" si="1"/>
        <v>450000</v>
      </c>
      <c r="N27" s="49" t="str">
        <f t="shared" si="2"/>
        <v>Stock normal</v>
      </c>
    </row>
    <row r="28" spans="2:14" thickBot="1" x14ac:dyDescent="0.4">
      <c r="B28" s="5"/>
      <c r="C28" s="48" t="str">
        <v>INF021</v>
      </c>
      <c r="D28" s="48" t="str">
        <f>VLOOKUP(C28,ListeM[],2,0)</f>
        <v>CLAVIER HP</v>
      </c>
      <c r="E28" s="48" t="str">
        <f>VLOOKUP(C28,ListeM[],3,0)</f>
        <v>INFORMATIQUE</v>
      </c>
      <c r="F28" s="48" t="str">
        <f>VLOOKUP(C28,ListeM[],4,0)</f>
        <v>PIECE</v>
      </c>
      <c r="G28" s="48">
        <f>VLOOKUP(C28,ListeM[],5,0)</f>
        <v>10</v>
      </c>
      <c r="H28" s="48">
        <f>VLOOKUP(C28,ListeM[],6,0)</f>
        <v>40</v>
      </c>
      <c r="I28" s="48">
        <f>SUMIFS(ListeE[Quantité],ListeE[Référence],Inventaires!C28)</f>
        <v>0</v>
      </c>
      <c r="J28" s="48">
        <f>SUMIFS(ListeS[Quantité],ListeS[Référence],Inventaires!C28)</f>
        <v>0</v>
      </c>
      <c r="K28" s="48">
        <f t="shared" si="0"/>
        <v>40</v>
      </c>
      <c r="L28" s="58">
        <f>(SUMIF(ListeM[Référence],C28,ListeM[Total])+SUMIF(ListeE[Référence],C28,ListeE[Total]))/(H28+I28)</f>
        <v>10000</v>
      </c>
      <c r="M28" s="58">
        <f t="shared" si="1"/>
        <v>400000</v>
      </c>
      <c r="N28" s="49" t="str">
        <f t="shared" si="2"/>
        <v>Stock normal</v>
      </c>
    </row>
    <row r="29" spans="2:14" thickBot="1" x14ac:dyDescent="0.4">
      <c r="B29" s="5"/>
      <c r="C29" s="48" t="str">
        <v>INF022</v>
      </c>
      <c r="D29" s="48" t="str">
        <f>VLOOKUP(C29,ListeM[],2,0)</f>
        <v>SOURIS HP</v>
      </c>
      <c r="E29" s="48" t="str">
        <f>VLOOKUP(C29,ListeM[],3,0)</f>
        <v>INFORMATIQUE</v>
      </c>
      <c r="F29" s="48" t="str">
        <f>VLOOKUP(C29,ListeM[],4,0)</f>
        <v>PIECE</v>
      </c>
      <c r="G29" s="48">
        <f>VLOOKUP(C29,ListeM[],5,0)</f>
        <v>15</v>
      </c>
      <c r="H29" s="48">
        <f>VLOOKUP(C29,ListeM[],6,0)</f>
        <v>60</v>
      </c>
      <c r="I29" s="48">
        <f>SUMIFS(ListeE[Quantité],ListeE[Référence],Inventaires!C29)</f>
        <v>0</v>
      </c>
      <c r="J29" s="48">
        <f>SUMIFS(ListeS[Quantité],ListeS[Référence],Inventaires!C29)</f>
        <v>0</v>
      </c>
      <c r="K29" s="48">
        <f t="shared" si="0"/>
        <v>60</v>
      </c>
      <c r="L29" s="58">
        <f>(SUMIF(ListeM[Référence],C29,ListeM[Total])+SUMIF(ListeE[Référence],C29,ListeE[Total]))/(H29+I29)</f>
        <v>5000</v>
      </c>
      <c r="M29" s="58">
        <f t="shared" si="1"/>
        <v>300000</v>
      </c>
      <c r="N29" s="49" t="str">
        <f t="shared" si="2"/>
        <v>Stock normal</v>
      </c>
    </row>
    <row r="30" spans="2:14" thickBot="1" x14ac:dyDescent="0.4">
      <c r="B30" s="5"/>
      <c r="C30" s="48" t="str">
        <v>INF023</v>
      </c>
      <c r="D30" s="48" t="str">
        <f>VLOOKUP(C30,ListeM[],2,0)</f>
        <v>ECRAN 22 POUCES</v>
      </c>
      <c r="E30" s="48" t="str">
        <f>VLOOKUP(C30,ListeM[],3,0)</f>
        <v>INFORMATIQUE</v>
      </c>
      <c r="F30" s="48" t="str">
        <f>VLOOKUP(C30,ListeM[],4,0)</f>
        <v>PIECE</v>
      </c>
      <c r="G30" s="48">
        <f>VLOOKUP(C30,ListeM[],5,0)</f>
        <v>5</v>
      </c>
      <c r="H30" s="48">
        <f>VLOOKUP(C30,ListeM[],6,0)</f>
        <v>20</v>
      </c>
      <c r="I30" s="48">
        <f>SUMIFS(ListeE[Quantité],ListeE[Référence],Inventaires!C30)</f>
        <v>0</v>
      </c>
      <c r="J30" s="48">
        <f>SUMIFS(ListeS[Quantité],ListeS[Référence],Inventaires!C30)</f>
        <v>0</v>
      </c>
      <c r="K30" s="48">
        <f t="shared" si="0"/>
        <v>20</v>
      </c>
      <c r="L30" s="58">
        <f>(SUMIF(ListeM[Référence],C30,ListeM[Total])+SUMIF(ListeE[Référence],C30,ListeE[Total]))/(H30+I30)</f>
        <v>80000</v>
      </c>
      <c r="M30" s="58">
        <f t="shared" si="1"/>
        <v>1600000</v>
      </c>
      <c r="N30" s="49" t="str">
        <f t="shared" si="2"/>
        <v>Stock normal</v>
      </c>
    </row>
    <row r="31" spans="2:14" thickBot="1" x14ac:dyDescent="0.4">
      <c r="B31" s="5"/>
      <c r="C31" s="48" t="str">
        <v>INF024</v>
      </c>
      <c r="D31" s="48" t="str">
        <f>VLOOKUP(C31,ListeM[],2,0)</f>
        <v>ECRAN 24 POUCES</v>
      </c>
      <c r="E31" s="48" t="str">
        <f>VLOOKUP(C31,ListeM[],3,0)</f>
        <v>INFORMATIQUE</v>
      </c>
      <c r="F31" s="48" t="str">
        <f>VLOOKUP(C31,ListeM[],4,0)</f>
        <v>PIECE</v>
      </c>
      <c r="G31" s="48">
        <f>VLOOKUP(C31,ListeM[],5,0)</f>
        <v>5</v>
      </c>
      <c r="H31" s="48">
        <f>VLOOKUP(C31,ListeM[],6,0)</f>
        <v>15</v>
      </c>
      <c r="I31" s="48">
        <f>SUMIFS(ListeE[Quantité],ListeE[Référence],Inventaires!C31)</f>
        <v>0</v>
      </c>
      <c r="J31" s="48">
        <f>SUMIFS(ListeS[Quantité],ListeS[Référence],Inventaires!C31)</f>
        <v>0</v>
      </c>
      <c r="K31" s="48">
        <f t="shared" si="0"/>
        <v>15</v>
      </c>
      <c r="L31" s="58">
        <f>(SUMIF(ListeM[Référence],C31,ListeM[Total])+SUMIF(ListeE[Référence],C31,ListeE[Total]))/(H31+I31)</f>
        <v>120000</v>
      </c>
      <c r="M31" s="58">
        <f t="shared" si="1"/>
        <v>1800000</v>
      </c>
      <c r="N31" s="49" t="str">
        <f t="shared" si="2"/>
        <v>Stock normal</v>
      </c>
    </row>
    <row r="32" spans="2:14" thickBot="1" x14ac:dyDescent="0.4">
      <c r="B32" s="5"/>
      <c r="C32" s="48" t="str">
        <v>INF025</v>
      </c>
      <c r="D32" s="48" t="str">
        <f>VLOOKUP(C32,ListeM[],2,0)</f>
        <v>ORDINATEUR HP</v>
      </c>
      <c r="E32" s="48" t="str">
        <f>VLOOKUP(C32,ListeM[],3,0)</f>
        <v>INFORMATIQUE</v>
      </c>
      <c r="F32" s="48" t="str">
        <f>VLOOKUP(C32,ListeM[],4,0)</f>
        <v>PIECE</v>
      </c>
      <c r="G32" s="48">
        <f>VLOOKUP(C32,ListeM[],5,0)</f>
        <v>5</v>
      </c>
      <c r="H32" s="48">
        <f>VLOOKUP(C32,ListeM[],6,0)</f>
        <v>10</v>
      </c>
      <c r="I32" s="48">
        <f>SUMIFS(ListeE[Quantité],ListeE[Référence],Inventaires!C32)</f>
        <v>0</v>
      </c>
      <c r="J32" s="48">
        <f>SUMIFS(ListeS[Quantité],ListeS[Référence],Inventaires!C32)</f>
        <v>0</v>
      </c>
      <c r="K32" s="48">
        <f t="shared" si="0"/>
        <v>10</v>
      </c>
      <c r="L32" s="58">
        <f>(SUMIF(ListeM[Référence],C32,ListeM[Total])+SUMIF(ListeE[Référence],C32,ListeE[Total]))/(H32+I32)</f>
        <v>350000</v>
      </c>
      <c r="M32" s="58">
        <f t="shared" si="1"/>
        <v>3500000</v>
      </c>
      <c r="N32" s="49" t="str">
        <f t="shared" si="2"/>
        <v>Stock normal</v>
      </c>
    </row>
    <row r="33" spans="2:14" thickBot="1" x14ac:dyDescent="0.4">
      <c r="B33" s="5"/>
      <c r="C33" s="48" t="str">
        <v>INF026</v>
      </c>
      <c r="D33" s="48" t="str">
        <f>VLOOKUP(C33,ListeM[],2,0)</f>
        <v>ORDINATEUR DELL</v>
      </c>
      <c r="E33" s="48" t="str">
        <f>VLOOKUP(C33,ListeM[],3,0)</f>
        <v>INFORMATIQUE</v>
      </c>
      <c r="F33" s="48" t="str">
        <f>VLOOKUP(C33,ListeM[],4,0)</f>
        <v>PIECE</v>
      </c>
      <c r="G33" s="48">
        <f>VLOOKUP(C33,ListeM[],5,0)</f>
        <v>5</v>
      </c>
      <c r="H33" s="48">
        <f>VLOOKUP(C33,ListeM[],6,0)</f>
        <v>12</v>
      </c>
      <c r="I33" s="48">
        <f>SUMIFS(ListeE[Quantité],ListeE[Référence],Inventaires!C33)</f>
        <v>65</v>
      </c>
      <c r="J33" s="48">
        <f>SUMIFS(ListeS[Quantité],ListeS[Référence],Inventaires!C33)</f>
        <v>0</v>
      </c>
      <c r="K33" s="48">
        <f t="shared" si="0"/>
        <v>77</v>
      </c>
      <c r="L33" s="58">
        <f>(SUMIF(ListeM[Référence],C33,ListeM[Total])+SUMIF(ListeE[Référence],C33,ListeE[Total]))/(H33+I33)</f>
        <v>400000</v>
      </c>
      <c r="M33" s="58">
        <f t="shared" si="1"/>
        <v>30800000</v>
      </c>
      <c r="N33" s="49" t="str">
        <f t="shared" si="2"/>
        <v>Stock normal</v>
      </c>
    </row>
    <row r="34" spans="2:14" thickBot="1" x14ac:dyDescent="0.4">
      <c r="B34" s="5"/>
      <c r="C34" s="48" t="str">
        <v>INF027</v>
      </c>
      <c r="D34" s="48" t="str">
        <f>VLOOKUP(C34,ListeM[],2,0)</f>
        <v>IMPRIMANTE CANON</v>
      </c>
      <c r="E34" s="48" t="str">
        <f>VLOOKUP(C34,ListeM[],3,0)</f>
        <v>INFORMATIQUE</v>
      </c>
      <c r="F34" s="48" t="str">
        <f>VLOOKUP(C34,ListeM[],4,0)</f>
        <v>PIECE</v>
      </c>
      <c r="G34" s="48">
        <f>VLOOKUP(C34,ListeM[],5,0)</f>
        <v>5</v>
      </c>
      <c r="H34" s="48">
        <f>VLOOKUP(C34,ListeM[],6,0)</f>
        <v>15</v>
      </c>
      <c r="I34" s="48">
        <f>SUMIFS(ListeE[Quantité],ListeE[Référence],Inventaires!C34)</f>
        <v>0</v>
      </c>
      <c r="J34" s="48">
        <f>SUMIFS(ListeS[Quantité],ListeS[Référence],Inventaires!C34)</f>
        <v>0</v>
      </c>
      <c r="K34" s="48">
        <f t="shared" si="0"/>
        <v>15</v>
      </c>
      <c r="L34" s="58">
        <f>(SUMIF(ListeM[Référence],C34,ListeM[Total])+SUMIF(ListeE[Référence],C34,ListeE[Total]))/(H34+I34)</f>
        <v>90000</v>
      </c>
      <c r="M34" s="58">
        <f t="shared" si="1"/>
        <v>1350000</v>
      </c>
      <c r="N34" s="49" t="str">
        <f t="shared" si="2"/>
        <v>Stock normal</v>
      </c>
    </row>
    <row r="35" spans="2:14" thickBot="1" x14ac:dyDescent="0.4">
      <c r="B35" s="5"/>
      <c r="C35" s="48" t="str">
        <v>INF028</v>
      </c>
      <c r="D35" s="48" t="str">
        <f>VLOOKUP(C35,ListeM[],2,0)</f>
        <v>IMPRIMANTE HP</v>
      </c>
      <c r="E35" s="48" t="str">
        <f>VLOOKUP(C35,ListeM[],3,0)</f>
        <v>INFORMATIQUE</v>
      </c>
      <c r="F35" s="48" t="str">
        <f>VLOOKUP(C35,ListeM[],4,0)</f>
        <v>PIECE</v>
      </c>
      <c r="G35" s="48">
        <f>VLOOKUP(C35,ListeM[],5,0)</f>
        <v>5</v>
      </c>
      <c r="H35" s="48">
        <f>VLOOKUP(C35,ListeM[],6,0)</f>
        <v>18</v>
      </c>
      <c r="I35" s="48">
        <f>SUMIFS(ListeE[Quantité],ListeE[Référence],Inventaires!C35)</f>
        <v>1</v>
      </c>
      <c r="J35" s="48">
        <f>SUMIFS(ListeS[Quantité],ListeS[Référence],Inventaires!C35)</f>
        <v>0</v>
      </c>
      <c r="K35" s="48">
        <f t="shared" si="0"/>
        <v>19</v>
      </c>
      <c r="L35" s="58">
        <f>(SUMIF(ListeM[Référence],C35,ListeM[Total])+SUMIF(ListeE[Référence],C35,ListeE[Total]))/(H35+I35)</f>
        <v>85000</v>
      </c>
      <c r="M35" s="58">
        <f t="shared" si="1"/>
        <v>1615000</v>
      </c>
      <c r="N35" s="49" t="str">
        <f t="shared" si="2"/>
        <v>Stock normal</v>
      </c>
    </row>
    <row r="36" spans="2:14" thickBot="1" x14ac:dyDescent="0.4">
      <c r="B36" s="5"/>
      <c r="C36" s="48" t="str">
        <v>INF029</v>
      </c>
      <c r="D36" s="48" t="str">
        <f>VLOOKUP(C36,ListeM[],2,0)</f>
        <v>CLÉ USB 32GB</v>
      </c>
      <c r="E36" s="48" t="str">
        <f>VLOOKUP(C36,ListeM[],3,0)</f>
        <v>INFORMATIQUE</v>
      </c>
      <c r="F36" s="48" t="str">
        <f>VLOOKUP(C36,ListeM[],4,0)</f>
        <v>PIECE</v>
      </c>
      <c r="G36" s="48">
        <f>VLOOKUP(C36,ListeM[],5,0)</f>
        <v>20</v>
      </c>
      <c r="H36" s="48">
        <f>VLOOKUP(C36,ListeM[],6,0)</f>
        <v>100</v>
      </c>
      <c r="I36" s="48">
        <f>SUMIFS(ListeE[Quantité],ListeE[Référence],Inventaires!C36)</f>
        <v>0</v>
      </c>
      <c r="J36" s="48">
        <f>SUMIFS(ListeS[Quantité],ListeS[Référence],Inventaires!C36)</f>
        <v>0</v>
      </c>
      <c r="K36" s="48">
        <f t="shared" si="0"/>
        <v>100</v>
      </c>
      <c r="L36" s="58">
        <f>(SUMIF(ListeM[Référence],C36,ListeM[Total])+SUMIF(ListeE[Référence],C36,ListeE[Total]))/(H36+I36)</f>
        <v>5000</v>
      </c>
      <c r="M36" s="58">
        <f t="shared" si="1"/>
        <v>500000</v>
      </c>
      <c r="N36" s="49" t="str">
        <f t="shared" si="2"/>
        <v>Stock normal</v>
      </c>
    </row>
    <row r="37" spans="2:14" thickBot="1" x14ac:dyDescent="0.4">
      <c r="B37" s="5"/>
      <c r="C37" s="48" t="str">
        <v>INF030</v>
      </c>
      <c r="D37" s="48" t="str">
        <f>VLOOKUP(C37,ListeM[],2,0)</f>
        <v>CLÉ USB 64GB</v>
      </c>
      <c r="E37" s="48" t="str">
        <f>VLOOKUP(C37,ListeM[],3,0)</f>
        <v>INFORMATIQUE</v>
      </c>
      <c r="F37" s="48" t="str">
        <f>VLOOKUP(C37,ListeM[],4,0)</f>
        <v>PIECE</v>
      </c>
      <c r="G37" s="48">
        <f>VLOOKUP(C37,ListeM[],5,0)</f>
        <v>20</v>
      </c>
      <c r="H37" s="48">
        <f>VLOOKUP(C37,ListeM[],6,0)</f>
        <v>90</v>
      </c>
      <c r="I37" s="48">
        <f>SUMIFS(ListeE[Quantité],ListeE[Référence],Inventaires!C37)</f>
        <v>9</v>
      </c>
      <c r="J37" s="48">
        <f>SUMIFS(ListeS[Quantité],ListeS[Référence],Inventaires!C37)</f>
        <v>0</v>
      </c>
      <c r="K37" s="48">
        <f t="shared" si="0"/>
        <v>99</v>
      </c>
      <c r="L37" s="58">
        <f>(SUMIF(ListeM[Référence],C37,ListeM[Total])+SUMIF(ListeE[Référence],C37,ListeE[Total]))/(H37+I37)</f>
        <v>8000</v>
      </c>
      <c r="M37" s="58">
        <f t="shared" si="1"/>
        <v>792000</v>
      </c>
      <c r="N37" s="49" t="str">
        <f t="shared" si="2"/>
        <v>Stock normal</v>
      </c>
    </row>
    <row r="38" spans="2:14" thickBot="1" x14ac:dyDescent="0.4">
      <c r="B38" s="5"/>
      <c r="C38" s="48" t="str">
        <v>INF031</v>
      </c>
      <c r="D38" s="48" t="str">
        <f>VLOOKUP(C38,ListeM[],2,0)</f>
        <v>DISQUE DUR 1TB</v>
      </c>
      <c r="E38" s="48" t="str">
        <f>VLOOKUP(C38,ListeM[],3,0)</f>
        <v>INFORMATIQUE</v>
      </c>
      <c r="F38" s="48" t="str">
        <f>VLOOKUP(C38,ListeM[],4,0)</f>
        <v>PIECE</v>
      </c>
      <c r="G38" s="48">
        <f>VLOOKUP(C38,ListeM[],5,0)</f>
        <v>10</v>
      </c>
      <c r="H38" s="48">
        <f>VLOOKUP(C38,ListeM[],6,0)</f>
        <v>40</v>
      </c>
      <c r="I38" s="48">
        <f>SUMIFS(ListeE[Quantité],ListeE[Référence],Inventaires!C38)</f>
        <v>0</v>
      </c>
      <c r="J38" s="48">
        <f>SUMIFS(ListeS[Quantité],ListeS[Référence],Inventaires!C38)</f>
        <v>0</v>
      </c>
      <c r="K38" s="48">
        <f t="shared" si="0"/>
        <v>40</v>
      </c>
      <c r="L38" s="58">
        <f>(SUMIF(ListeM[Référence],C38,ListeM[Total])+SUMIF(ListeE[Référence],C38,ListeE[Total]))/(H38+I38)</f>
        <v>45000</v>
      </c>
      <c r="M38" s="58">
        <f t="shared" si="1"/>
        <v>1800000</v>
      </c>
      <c r="N38" s="49" t="str">
        <f t="shared" si="2"/>
        <v>Stock normal</v>
      </c>
    </row>
    <row r="39" spans="2:14" thickBot="1" x14ac:dyDescent="0.4">
      <c r="B39" s="5"/>
      <c r="C39" s="48" t="str">
        <v>INF032</v>
      </c>
      <c r="D39" s="48" t="str">
        <f>VLOOKUP(C39,ListeM[],2,0)</f>
        <v>DISQUE DUR 2TB</v>
      </c>
      <c r="E39" s="48" t="str">
        <f>VLOOKUP(C39,ListeM[],3,0)</f>
        <v>INFORMATIQUE</v>
      </c>
      <c r="F39" s="48" t="str">
        <f>VLOOKUP(C39,ListeM[],4,0)</f>
        <v>PIECE</v>
      </c>
      <c r="G39" s="48">
        <f>VLOOKUP(C39,ListeM[],5,0)</f>
        <v>10</v>
      </c>
      <c r="H39" s="48">
        <f>VLOOKUP(C39,ListeM[],6,0)</f>
        <v>30</v>
      </c>
      <c r="I39" s="48">
        <f>SUMIFS(ListeE[Quantité],ListeE[Référence],Inventaires!C39)</f>
        <v>0</v>
      </c>
      <c r="J39" s="48">
        <f>SUMIFS(ListeS[Quantité],ListeS[Référence],Inventaires!C39)</f>
        <v>0</v>
      </c>
      <c r="K39" s="48">
        <f t="shared" si="0"/>
        <v>30</v>
      </c>
      <c r="L39" s="58">
        <f>(SUMIF(ListeM[Référence],C39,ListeM[Total])+SUMIF(ListeE[Référence],C39,ListeE[Total]))/(H39+I39)</f>
        <v>70000</v>
      </c>
      <c r="M39" s="58">
        <f t="shared" si="1"/>
        <v>2100000</v>
      </c>
      <c r="N39" s="49" t="str">
        <f t="shared" si="2"/>
        <v>Stock normal</v>
      </c>
    </row>
    <row r="40" spans="2:14" thickBot="1" x14ac:dyDescent="0.4">
      <c r="B40" s="5"/>
      <c r="C40" s="48" t="str">
        <v>INF033</v>
      </c>
      <c r="D40" s="48" t="str">
        <f>VLOOKUP(C40,ListeM[],2,0)</f>
        <v>CARTE MEMOIRE 32GB</v>
      </c>
      <c r="E40" s="48" t="str">
        <f>VLOOKUP(C40,ListeM[],3,0)</f>
        <v>INFORMATIQUE</v>
      </c>
      <c r="F40" s="48" t="str">
        <f>VLOOKUP(C40,ListeM[],4,0)</f>
        <v>PIECE</v>
      </c>
      <c r="G40" s="48">
        <f>VLOOKUP(C40,ListeM[],5,0)</f>
        <v>20</v>
      </c>
      <c r="H40" s="48">
        <f>VLOOKUP(C40,ListeM[],6,0)</f>
        <v>120</v>
      </c>
      <c r="I40" s="48">
        <f>SUMIFS(ListeE[Quantité],ListeE[Référence],Inventaires!C40)</f>
        <v>0</v>
      </c>
      <c r="J40" s="48">
        <f>SUMIFS(ListeS[Quantité],ListeS[Référence],Inventaires!C40)</f>
        <v>0</v>
      </c>
      <c r="K40" s="48">
        <f t="shared" si="0"/>
        <v>120</v>
      </c>
      <c r="L40" s="58">
        <f>(SUMIF(ListeM[Référence],C40,ListeM[Total])+SUMIF(ListeE[Référence],C40,ListeE[Total]))/(H40+I40)</f>
        <v>4000</v>
      </c>
      <c r="M40" s="58">
        <f t="shared" si="1"/>
        <v>480000</v>
      </c>
      <c r="N40" s="49" t="str">
        <f t="shared" si="2"/>
        <v>Stock normal</v>
      </c>
    </row>
    <row r="41" spans="2:14" thickBot="1" x14ac:dyDescent="0.4">
      <c r="B41" s="5"/>
      <c r="C41" s="48" t="str">
        <v>INF034</v>
      </c>
      <c r="D41" s="48" t="str">
        <f>VLOOKUP(C41,ListeM[],2,0)</f>
        <v>CARTE MEMOIRE 64GB</v>
      </c>
      <c r="E41" s="48" t="str">
        <f>VLOOKUP(C41,ListeM[],3,0)</f>
        <v>INFORMATIQUE</v>
      </c>
      <c r="F41" s="48" t="str">
        <f>VLOOKUP(C41,ListeM[],4,0)</f>
        <v>PIECE</v>
      </c>
      <c r="G41" s="48">
        <f>VLOOKUP(C41,ListeM[],5,0)</f>
        <v>20</v>
      </c>
      <c r="H41" s="48">
        <f>VLOOKUP(C41,ListeM[],6,0)</f>
        <v>100</v>
      </c>
      <c r="I41" s="48">
        <f>SUMIFS(ListeE[Quantité],ListeE[Référence],Inventaires!C41)</f>
        <v>0</v>
      </c>
      <c r="J41" s="48">
        <f>SUMIFS(ListeS[Quantité],ListeS[Référence],Inventaires!C41)</f>
        <v>0</v>
      </c>
      <c r="K41" s="48">
        <f t="shared" si="0"/>
        <v>100</v>
      </c>
      <c r="L41" s="58">
        <f>(SUMIF(ListeM[Référence],C41,ListeM[Total])+SUMIF(ListeE[Référence],C41,ListeE[Total]))/(H41+I41)</f>
        <v>7000</v>
      </c>
      <c r="M41" s="58">
        <f t="shared" si="1"/>
        <v>700000</v>
      </c>
      <c r="N41" s="49" t="str">
        <f t="shared" si="2"/>
        <v>Stock normal</v>
      </c>
    </row>
    <row r="42" spans="2:14" thickBot="1" x14ac:dyDescent="0.4">
      <c r="B42" s="5"/>
      <c r="C42" s="48" t="str">
        <v>RES035</v>
      </c>
      <c r="D42" s="48" t="str">
        <f>VLOOKUP(C42,ListeM[],2,0)</f>
        <v>ROUTEUR WIFI</v>
      </c>
      <c r="E42" s="48" t="str">
        <f>VLOOKUP(C42,ListeM[],3,0)</f>
        <v>RESEAU</v>
      </c>
      <c r="F42" s="48" t="str">
        <f>VLOOKUP(C42,ListeM[],4,0)</f>
        <v>PIECE</v>
      </c>
      <c r="G42" s="48">
        <f>VLOOKUP(C42,ListeM[],5,0)</f>
        <v>10</v>
      </c>
      <c r="H42" s="48">
        <f>VLOOKUP(C42,ListeM[],6,0)</f>
        <v>30</v>
      </c>
      <c r="I42" s="48">
        <f>SUMIFS(ListeE[Quantité],ListeE[Référence],Inventaires!C42)</f>
        <v>2</v>
      </c>
      <c r="J42" s="48">
        <f>SUMIFS(ListeS[Quantité],ListeS[Référence],Inventaires!C42)</f>
        <v>21</v>
      </c>
      <c r="K42" s="48">
        <f t="shared" si="0"/>
        <v>11</v>
      </c>
      <c r="L42" s="58">
        <f>(SUMIF(ListeM[Référence],C42,ListeM[Total])+SUMIF(ListeE[Référence],C42,ListeE[Total]))/(H42+I42)</f>
        <v>25000</v>
      </c>
      <c r="M42" s="58">
        <f t="shared" si="1"/>
        <v>275000</v>
      </c>
      <c r="N42" s="49" t="str">
        <f t="shared" si="2"/>
        <v>Stock normal</v>
      </c>
    </row>
    <row r="43" spans="2:14" thickBot="1" x14ac:dyDescent="0.4">
      <c r="B43" s="5"/>
      <c r="C43" s="48" t="str">
        <v>RES036</v>
      </c>
      <c r="D43" s="48" t="str">
        <f>VLOOKUP(C43,ListeM[],2,0)</f>
        <v>MODEM 4G</v>
      </c>
      <c r="E43" s="48" t="str">
        <f>VLOOKUP(C43,ListeM[],3,0)</f>
        <v>RESEAU</v>
      </c>
      <c r="F43" s="48" t="str">
        <f>VLOOKUP(C43,ListeM[],4,0)</f>
        <v>PIECE</v>
      </c>
      <c r="G43" s="48">
        <f>VLOOKUP(C43,ListeM[],5,0)</f>
        <v>10</v>
      </c>
      <c r="H43" s="48">
        <f>VLOOKUP(C43,ListeM[],6,0)</f>
        <v>25</v>
      </c>
      <c r="I43" s="48">
        <f>SUMIFS(ListeE[Quantité],ListeE[Référence],Inventaires!C43)</f>
        <v>0</v>
      </c>
      <c r="J43" s="48">
        <f>SUMIFS(ListeS[Quantité],ListeS[Référence],Inventaires!C43)</f>
        <v>0</v>
      </c>
      <c r="K43" s="48">
        <f t="shared" si="0"/>
        <v>25</v>
      </c>
      <c r="L43" s="58">
        <f>(SUMIF(ListeM[Référence],C43,ListeM[Total])+SUMIF(ListeE[Référence],C43,ListeE[Total]))/(H43+I43)</f>
        <v>30000</v>
      </c>
      <c r="M43" s="58">
        <f t="shared" si="1"/>
        <v>750000</v>
      </c>
      <c r="N43" s="49" t="str">
        <f t="shared" si="2"/>
        <v>Stock normal</v>
      </c>
    </row>
    <row r="44" spans="2:14" thickBot="1" x14ac:dyDescent="0.4">
      <c r="B44" s="5"/>
      <c r="C44" s="48" t="str">
        <v>RES037</v>
      </c>
      <c r="D44" s="48" t="str">
        <f>VLOOKUP(C44,ListeM[],2,0)</f>
        <v>SWITCH 8 PORTS</v>
      </c>
      <c r="E44" s="48" t="str">
        <f>VLOOKUP(C44,ListeM[],3,0)</f>
        <v>RESEAU</v>
      </c>
      <c r="F44" s="48" t="str">
        <f>VLOOKUP(C44,ListeM[],4,0)</f>
        <v>PIECE</v>
      </c>
      <c r="G44" s="48">
        <f>VLOOKUP(C44,ListeM[],5,0)</f>
        <v>5</v>
      </c>
      <c r="H44" s="48">
        <f>VLOOKUP(C44,ListeM[],6,0)</f>
        <v>20</v>
      </c>
      <c r="I44" s="48">
        <f>SUMIFS(ListeE[Quantité],ListeE[Référence],Inventaires!C44)</f>
        <v>0</v>
      </c>
      <c r="J44" s="48">
        <f>SUMIFS(ListeS[Quantité],ListeS[Référence],Inventaires!C44)</f>
        <v>20</v>
      </c>
      <c r="K44" s="48">
        <f t="shared" si="0"/>
        <v>0</v>
      </c>
      <c r="L44" s="58">
        <f>(SUMIF(ListeM[Référence],C44,ListeM[Total])+SUMIF(ListeE[Référence],C44,ListeE[Total]))/(H44+I44)</f>
        <v>20000</v>
      </c>
      <c r="M44" s="58">
        <f t="shared" si="1"/>
        <v>0</v>
      </c>
      <c r="N44" s="49" t="str">
        <f t="shared" si="2"/>
        <v>En rupture</v>
      </c>
    </row>
    <row r="45" spans="2:14" thickBot="1" x14ac:dyDescent="0.4">
      <c r="B45" s="5"/>
      <c r="C45" s="48" t="str">
        <v>RES038</v>
      </c>
      <c r="D45" s="48" t="str">
        <f>VLOOKUP(C45,ListeM[],2,0)</f>
        <v>SWITCH 16 PORTS</v>
      </c>
      <c r="E45" s="48" t="str">
        <f>VLOOKUP(C45,ListeM[],3,0)</f>
        <v>RESEAU</v>
      </c>
      <c r="F45" s="48" t="str">
        <f>VLOOKUP(C45,ListeM[],4,0)</f>
        <v>PIECE</v>
      </c>
      <c r="G45" s="48">
        <f>VLOOKUP(C45,ListeM[],5,0)</f>
        <v>5</v>
      </c>
      <c r="H45" s="48">
        <f>VLOOKUP(C45,ListeM[],6,0)</f>
        <v>15</v>
      </c>
      <c r="I45" s="48">
        <f>SUMIFS(ListeE[Quantité],ListeE[Référence],Inventaires!C45)</f>
        <v>0</v>
      </c>
      <c r="J45" s="48">
        <f>SUMIFS(ListeS[Quantité],ListeS[Référence],Inventaires!C45)</f>
        <v>0</v>
      </c>
      <c r="K45" s="48">
        <f t="shared" si="0"/>
        <v>15</v>
      </c>
      <c r="L45" s="58">
        <f>(SUMIF(ListeM[Référence],C45,ListeM[Total])+SUMIF(ListeE[Référence],C45,ListeE[Total]))/(H45+I45)</f>
        <v>35000</v>
      </c>
      <c r="M45" s="58">
        <f t="shared" si="1"/>
        <v>525000</v>
      </c>
      <c r="N45" s="49" t="str">
        <f t="shared" si="2"/>
        <v>Stock normal</v>
      </c>
    </row>
    <row r="46" spans="2:14" thickBot="1" x14ac:dyDescent="0.4">
      <c r="B46" s="5"/>
      <c r="C46" s="48" t="str">
        <v>RES039</v>
      </c>
      <c r="D46" s="48" t="str">
        <f>VLOOKUP(C46,ListeM[],2,0)</f>
        <v>CABLE RESEAU</v>
      </c>
      <c r="E46" s="48" t="str">
        <f>VLOOKUP(C46,ListeM[],3,0)</f>
        <v>RESEAU</v>
      </c>
      <c r="F46" s="48" t="str">
        <f>VLOOKUP(C46,ListeM[],4,0)</f>
        <v>PIECE</v>
      </c>
      <c r="G46" s="48">
        <f>VLOOKUP(C46,ListeM[],5,0)</f>
        <v>30</v>
      </c>
      <c r="H46" s="48">
        <f>VLOOKUP(C46,ListeM[],6,0)</f>
        <v>200</v>
      </c>
      <c r="I46" s="48">
        <f>SUMIFS(ListeE[Quantité],ListeE[Référence],Inventaires!C46)</f>
        <v>0</v>
      </c>
      <c r="J46" s="48">
        <f>SUMIFS(ListeS[Quantité],ListeS[Référence],Inventaires!C46)</f>
        <v>0</v>
      </c>
      <c r="K46" s="48">
        <f t="shared" si="0"/>
        <v>200</v>
      </c>
      <c r="L46" s="58">
        <f>(SUMIF(ListeM[Référence],C46,ListeM[Total])+SUMIF(ListeE[Référence],C46,ListeE[Total]))/(H46+I46)</f>
        <v>1000</v>
      </c>
      <c r="M46" s="58">
        <f t="shared" si="1"/>
        <v>200000</v>
      </c>
      <c r="N46" s="49" t="str">
        <f t="shared" si="2"/>
        <v>Stock normal</v>
      </c>
    </row>
    <row r="47" spans="2:14" thickBot="1" x14ac:dyDescent="0.4">
      <c r="B47" s="5"/>
      <c r="C47" s="48" t="str">
        <v>RES040</v>
      </c>
      <c r="D47" s="48" t="str">
        <f>VLOOKUP(C47,ListeM[],2,0)</f>
        <v>PRISE RESEAU</v>
      </c>
      <c r="E47" s="48" t="str">
        <f>VLOOKUP(C47,ListeM[],3,0)</f>
        <v>RESEAU</v>
      </c>
      <c r="F47" s="48" t="str">
        <f>VLOOKUP(C47,ListeM[],4,0)</f>
        <v>PIECE</v>
      </c>
      <c r="G47" s="48">
        <f>VLOOKUP(C47,ListeM[],5,0)</f>
        <v>30</v>
      </c>
      <c r="H47" s="48">
        <f>VLOOKUP(C47,ListeM[],6,0)</f>
        <v>180</v>
      </c>
      <c r="I47" s="48">
        <f>SUMIFS(ListeE[Quantité],ListeE[Référence],Inventaires!C47)</f>
        <v>0</v>
      </c>
      <c r="J47" s="48">
        <f>SUMIFS(ListeS[Quantité],ListeS[Référence],Inventaires!C47)</f>
        <v>0</v>
      </c>
      <c r="K47" s="48">
        <f t="shared" si="0"/>
        <v>180</v>
      </c>
      <c r="L47" s="58">
        <f>(SUMIF(ListeM[Référence],C47,ListeM[Total])+SUMIF(ListeE[Référence],C47,ListeE[Total]))/(H47+I47)</f>
        <v>1500</v>
      </c>
      <c r="M47" s="58">
        <f t="shared" si="1"/>
        <v>270000</v>
      </c>
      <c r="N47" s="49" t="str">
        <f t="shared" si="2"/>
        <v>Stock normal</v>
      </c>
    </row>
    <row r="48" spans="2:14" thickBot="1" x14ac:dyDescent="0.4">
      <c r="B48" s="5"/>
      <c r="C48" s="48" t="str">
        <v>RES041</v>
      </c>
      <c r="D48" s="48" t="str">
        <f>VLOOKUP(C48,ListeM[],2,0)</f>
        <v>ONDULEUR 650VA</v>
      </c>
      <c r="E48" s="48" t="str">
        <f>VLOOKUP(C48,ListeM[],3,0)</f>
        <v>ELECTRONIQUE</v>
      </c>
      <c r="F48" s="48" t="str">
        <f>VLOOKUP(C48,ListeM[],4,0)</f>
        <v>PIECE</v>
      </c>
      <c r="G48" s="48">
        <f>VLOOKUP(C48,ListeM[],5,0)</f>
        <v>5</v>
      </c>
      <c r="H48" s="48">
        <f>VLOOKUP(C48,ListeM[],6,0)</f>
        <v>25</v>
      </c>
      <c r="I48" s="48">
        <f>SUMIFS(ListeE[Quantité],ListeE[Référence],Inventaires!C48)</f>
        <v>0</v>
      </c>
      <c r="J48" s="48">
        <f>SUMIFS(ListeS[Quantité],ListeS[Référence],Inventaires!C48)</f>
        <v>0</v>
      </c>
      <c r="K48" s="48">
        <f t="shared" si="0"/>
        <v>25</v>
      </c>
      <c r="L48" s="58">
        <f>(SUMIF(ListeM[Référence],C48,ListeM[Total])+SUMIF(ListeE[Référence],C48,ListeE[Total]))/(H48+I48)</f>
        <v>30000</v>
      </c>
      <c r="M48" s="58">
        <f t="shared" si="1"/>
        <v>750000</v>
      </c>
      <c r="N48" s="49" t="str">
        <f t="shared" si="2"/>
        <v>Stock normal</v>
      </c>
    </row>
    <row r="49" spans="2:14" thickBot="1" x14ac:dyDescent="0.4">
      <c r="B49" s="5"/>
      <c r="C49" s="48" t="str">
        <v>RES042</v>
      </c>
      <c r="D49" s="48" t="str">
        <f>VLOOKUP(C49,ListeM[],2,0)</f>
        <v>ONDULEUR 1000VA</v>
      </c>
      <c r="E49" s="48" t="str">
        <f>VLOOKUP(C49,ListeM[],3,0)</f>
        <v>ELECTRONIQUE</v>
      </c>
      <c r="F49" s="48" t="str">
        <f>VLOOKUP(C49,ListeM[],4,0)</f>
        <v>PIECE</v>
      </c>
      <c r="G49" s="48">
        <f>VLOOKUP(C49,ListeM[],5,0)</f>
        <v>5</v>
      </c>
      <c r="H49" s="48">
        <f>VLOOKUP(C49,ListeM[],6,0)</f>
        <v>20</v>
      </c>
      <c r="I49" s="48">
        <f>SUMIFS(ListeE[Quantité],ListeE[Référence],Inventaires!C49)</f>
        <v>0</v>
      </c>
      <c r="J49" s="48">
        <f>SUMIFS(ListeS[Quantité],ListeS[Référence],Inventaires!C49)</f>
        <v>0</v>
      </c>
      <c r="K49" s="48">
        <f t="shared" si="0"/>
        <v>20</v>
      </c>
      <c r="L49" s="58">
        <f>(SUMIF(ListeM[Référence],C49,ListeM[Total])+SUMIF(ListeE[Référence],C49,ListeE[Total]))/(H49+I49)</f>
        <v>50000</v>
      </c>
      <c r="M49" s="58">
        <f t="shared" si="1"/>
        <v>1000000</v>
      </c>
      <c r="N49" s="49" t="str">
        <f t="shared" si="2"/>
        <v>Stock normal</v>
      </c>
    </row>
    <row r="50" spans="2:14" thickBot="1" x14ac:dyDescent="0.4">
      <c r="B50" s="5"/>
      <c r="C50" s="48" t="str">
        <v>ELE043</v>
      </c>
      <c r="D50" s="48" t="str">
        <f>VLOOKUP(C50,ListeM[],2,0)</f>
        <v>VENTILATEUR</v>
      </c>
      <c r="E50" s="48" t="str">
        <f>VLOOKUP(C50,ListeM[],3,0)</f>
        <v>ELECTROMENAGER</v>
      </c>
      <c r="F50" s="48" t="str">
        <f>VLOOKUP(C50,ListeM[],4,0)</f>
        <v>PIECE</v>
      </c>
      <c r="G50" s="48">
        <f>VLOOKUP(C50,ListeM[],5,0)</f>
        <v>10</v>
      </c>
      <c r="H50" s="48">
        <f>VLOOKUP(C50,ListeM[],6,0)</f>
        <v>40</v>
      </c>
      <c r="I50" s="48">
        <f>SUMIFS(ListeE[Quantité],ListeE[Référence],Inventaires!C50)</f>
        <v>0</v>
      </c>
      <c r="J50" s="48">
        <f>SUMIFS(ListeS[Quantité],ListeS[Référence],Inventaires!C50)</f>
        <v>0</v>
      </c>
      <c r="K50" s="48">
        <f t="shared" si="0"/>
        <v>40</v>
      </c>
      <c r="L50" s="58">
        <f>(SUMIF(ListeM[Référence],C50,ListeM[Total])+SUMIF(ListeE[Référence],C50,ListeE[Total]))/(H50+I50)</f>
        <v>25000</v>
      </c>
      <c r="M50" s="58">
        <f t="shared" si="1"/>
        <v>1000000</v>
      </c>
      <c r="N50" s="49" t="str">
        <f t="shared" si="2"/>
        <v>Stock normal</v>
      </c>
    </row>
    <row r="51" spans="2:14" thickBot="1" x14ac:dyDescent="0.4">
      <c r="B51" s="5"/>
      <c r="C51" s="48" t="str">
        <v>ELE044</v>
      </c>
      <c r="D51" s="48" t="str">
        <f>VLOOKUP(C51,ListeM[],2,0)</f>
        <v>CLIMATISEUR</v>
      </c>
      <c r="E51" s="48" t="str">
        <f>VLOOKUP(C51,ListeM[],3,0)</f>
        <v>ELECTROMENAGER</v>
      </c>
      <c r="F51" s="48" t="str">
        <f>VLOOKUP(C51,ListeM[],4,0)</f>
        <v>PIECE</v>
      </c>
      <c r="G51" s="48">
        <f>VLOOKUP(C51,ListeM[],5,0)</f>
        <v>3</v>
      </c>
      <c r="H51" s="48">
        <f>VLOOKUP(C51,ListeM[],6,0)</f>
        <v>10</v>
      </c>
      <c r="I51" s="48">
        <f>SUMIFS(ListeE[Quantité],ListeE[Référence],Inventaires!C51)</f>
        <v>0</v>
      </c>
      <c r="J51" s="48">
        <f>SUMIFS(ListeS[Quantité],ListeS[Référence],Inventaires!C51)</f>
        <v>10</v>
      </c>
      <c r="K51" s="48">
        <f t="shared" si="0"/>
        <v>0</v>
      </c>
      <c r="L51" s="58">
        <f>(SUMIF(ListeM[Référence],C51,ListeM[Total])+SUMIF(ListeE[Référence],C51,ListeE[Total]))/(H51+I51)</f>
        <v>300000</v>
      </c>
      <c r="M51" s="58">
        <f t="shared" si="1"/>
        <v>0</v>
      </c>
      <c r="N51" s="49" t="str">
        <f t="shared" si="2"/>
        <v>En rupture</v>
      </c>
    </row>
    <row r="52" spans="2:14" thickBot="1" x14ac:dyDescent="0.4">
      <c r="B52" s="5"/>
      <c r="C52" s="48" t="str">
        <v>ELE045</v>
      </c>
      <c r="D52" s="48" t="str">
        <f>VLOOKUP(C52,ListeM[],2,0)</f>
        <v>TELEVISEUR 32</v>
      </c>
      <c r="E52" s="48" t="str">
        <f>VLOOKUP(C52,ListeM[],3,0)</f>
        <v>ELECTRONIQUE</v>
      </c>
      <c r="F52" s="48" t="str">
        <f>VLOOKUP(C52,ListeM[],4,0)</f>
        <v>PIECE</v>
      </c>
      <c r="G52" s="48">
        <f>VLOOKUP(C52,ListeM[],5,0)</f>
        <v>5</v>
      </c>
      <c r="H52" s="48">
        <f>VLOOKUP(C52,ListeM[],6,0)</f>
        <v>20</v>
      </c>
      <c r="I52" s="48">
        <f>SUMIFS(ListeE[Quantité],ListeE[Référence],Inventaires!C52)</f>
        <v>4</v>
      </c>
      <c r="J52" s="48">
        <f>SUMIFS(ListeS[Quantité],ListeS[Référence],Inventaires!C52)</f>
        <v>0</v>
      </c>
      <c r="K52" s="48">
        <f t="shared" si="0"/>
        <v>24</v>
      </c>
      <c r="L52" s="58">
        <f>(SUMIF(ListeM[Référence],C52,ListeM[Total])+SUMIF(ListeE[Référence],C52,ListeE[Total]))/(H52+I52)</f>
        <v>120000</v>
      </c>
      <c r="M52" s="58">
        <f t="shared" si="1"/>
        <v>2880000</v>
      </c>
      <c r="N52" s="49" t="str">
        <f t="shared" si="2"/>
        <v>Stock normal</v>
      </c>
    </row>
    <row r="53" spans="2:14" thickBot="1" x14ac:dyDescent="0.4">
      <c r="B53" s="5"/>
      <c r="C53" s="48" t="str">
        <v>ELE046</v>
      </c>
      <c r="D53" s="48" t="str">
        <f>VLOOKUP(C53,ListeM[],2,0)</f>
        <v>TELEVISEUR 43</v>
      </c>
      <c r="E53" s="48" t="str">
        <f>VLOOKUP(C53,ListeM[],3,0)</f>
        <v>ELECTRONIQUE</v>
      </c>
      <c r="F53" s="48" t="str">
        <f>VLOOKUP(C53,ListeM[],4,0)</f>
        <v>PIECE</v>
      </c>
      <c r="G53" s="48">
        <f>VLOOKUP(C53,ListeM[],5,0)</f>
        <v>5</v>
      </c>
      <c r="H53" s="48">
        <f>VLOOKUP(C53,ListeM[],6,0)</f>
        <v>15</v>
      </c>
      <c r="I53" s="48">
        <f>SUMIFS(ListeE[Quantité],ListeE[Référence],Inventaires!C53)</f>
        <v>10</v>
      </c>
      <c r="J53" s="48">
        <f>SUMIFS(ListeS[Quantité],ListeS[Référence],Inventaires!C53)</f>
        <v>0</v>
      </c>
      <c r="K53" s="48">
        <f t="shared" si="0"/>
        <v>25</v>
      </c>
      <c r="L53" s="58">
        <f>(SUMIF(ListeM[Référence],C53,ListeM[Total])+SUMIF(ListeE[Référence],C53,ListeE[Total]))/(H53+I53)</f>
        <v>180000</v>
      </c>
      <c r="M53" s="58">
        <f t="shared" si="1"/>
        <v>4500000</v>
      </c>
      <c r="N53" s="49" t="str">
        <f t="shared" si="2"/>
        <v>Stock normal</v>
      </c>
    </row>
    <row r="54" spans="2:14" thickBot="1" x14ac:dyDescent="0.4">
      <c r="B54" s="5"/>
      <c r="C54" s="48" t="str">
        <v>ELE047</v>
      </c>
      <c r="D54" s="48" t="str">
        <f>VLOOKUP(C54,ListeM[],2,0)</f>
        <v>TELEVISEUR 55</v>
      </c>
      <c r="E54" s="48" t="str">
        <f>VLOOKUP(C54,ListeM[],3,0)</f>
        <v>ELECTRONIQUE</v>
      </c>
      <c r="F54" s="48" t="str">
        <f>VLOOKUP(C54,ListeM[],4,0)</f>
        <v>PIECE</v>
      </c>
      <c r="G54" s="48">
        <f>VLOOKUP(C54,ListeM[],5,0)</f>
        <v>3</v>
      </c>
      <c r="H54" s="48">
        <f>VLOOKUP(C54,ListeM[],6,0)</f>
        <v>10</v>
      </c>
      <c r="I54" s="48">
        <f>SUMIFS(ListeE[Quantité],ListeE[Référence],Inventaires!C54)</f>
        <v>0</v>
      </c>
      <c r="J54" s="48">
        <f>SUMIFS(ListeS[Quantité],ListeS[Référence],Inventaires!C54)</f>
        <v>0</v>
      </c>
      <c r="K54" s="48">
        <f t="shared" si="0"/>
        <v>10</v>
      </c>
      <c r="L54" s="58">
        <f>(SUMIF(ListeM[Référence],C54,ListeM[Total])+SUMIF(ListeE[Référence],C54,ListeE[Total]))/(H54+I54)</f>
        <v>300000</v>
      </c>
      <c r="M54" s="58">
        <f t="shared" si="1"/>
        <v>3000000</v>
      </c>
      <c r="N54" s="49" t="str">
        <f t="shared" si="2"/>
        <v>Stock normal</v>
      </c>
    </row>
    <row r="55" spans="2:14" thickBot="1" x14ac:dyDescent="0.4">
      <c r="B55" s="5"/>
      <c r="C55" s="48" t="str">
        <v>ELE048</v>
      </c>
      <c r="D55" s="48" t="str">
        <f>VLOOKUP(C55,ListeM[],2,0)</f>
        <v>MACHINE A LAVER</v>
      </c>
      <c r="E55" s="48" t="str">
        <f>VLOOKUP(C55,ListeM[],3,0)</f>
        <v>ELECTROMENAGER</v>
      </c>
      <c r="F55" s="48" t="str">
        <f>VLOOKUP(C55,ListeM[],4,0)</f>
        <v>PIECE</v>
      </c>
      <c r="G55" s="48">
        <f>VLOOKUP(C55,ListeM[],5,0)</f>
        <v>3</v>
      </c>
      <c r="H55" s="48">
        <f>VLOOKUP(C55,ListeM[],6,0)</f>
        <v>8</v>
      </c>
      <c r="I55" s="48">
        <f>SUMIFS(ListeE[Quantité],ListeE[Référence],Inventaires!C55)</f>
        <v>0</v>
      </c>
      <c r="J55" s="48">
        <f>SUMIFS(ListeS[Quantité],ListeS[Référence],Inventaires!C55)</f>
        <v>0</v>
      </c>
      <c r="K55" s="48">
        <f t="shared" si="0"/>
        <v>8</v>
      </c>
      <c r="L55" s="58">
        <f>(SUMIF(ListeM[Référence],C55,ListeM[Total])+SUMIF(ListeE[Référence],C55,ListeE[Total]))/(H55+I55)</f>
        <v>250000</v>
      </c>
      <c r="M55" s="58">
        <f t="shared" si="1"/>
        <v>2000000</v>
      </c>
      <c r="N55" s="49" t="str">
        <f t="shared" si="2"/>
        <v>Stock normal</v>
      </c>
    </row>
    <row r="56" spans="2:14" thickBot="1" x14ac:dyDescent="0.4">
      <c r="B56" s="5"/>
      <c r="C56" s="48" t="str">
        <v>ELE049</v>
      </c>
      <c r="D56" s="48" t="str">
        <f>VLOOKUP(C56,ListeM[],2,0)</f>
        <v>REFRIGERATEUR</v>
      </c>
      <c r="E56" s="48" t="str">
        <f>VLOOKUP(C56,ListeM[],3,0)</f>
        <v>ELECTROMENAGER</v>
      </c>
      <c r="F56" s="48" t="str">
        <f>VLOOKUP(C56,ListeM[],4,0)</f>
        <v>PIECE</v>
      </c>
      <c r="G56" s="48">
        <f>VLOOKUP(C56,ListeM[],5,0)</f>
        <v>3</v>
      </c>
      <c r="H56" s="48">
        <f>VLOOKUP(C56,ListeM[],6,0)</f>
        <v>6</v>
      </c>
      <c r="I56" s="48">
        <f>SUMIFS(ListeE[Quantité],ListeE[Référence],Inventaires!C56)</f>
        <v>0</v>
      </c>
      <c r="J56" s="48">
        <f>SUMIFS(ListeS[Quantité],ListeS[Référence],Inventaires!C56)</f>
        <v>0</v>
      </c>
      <c r="K56" s="48">
        <f t="shared" si="0"/>
        <v>6</v>
      </c>
      <c r="L56" s="58">
        <f>(SUMIF(ListeM[Référence],C56,ListeM[Total])+SUMIF(ListeE[Référence],C56,ListeE[Total]))/(H56+I56)</f>
        <v>400000</v>
      </c>
      <c r="M56" s="58">
        <f t="shared" si="1"/>
        <v>2400000</v>
      </c>
      <c r="N56" s="49" t="str">
        <f t="shared" si="2"/>
        <v>Stock normal</v>
      </c>
    </row>
    <row r="57" spans="2:14" thickBot="1" x14ac:dyDescent="0.4">
      <c r="B57" s="5"/>
      <c r="C57" s="48" t="str">
        <v>ELE050</v>
      </c>
      <c r="D57" s="48" t="str">
        <f>VLOOKUP(C57,ListeM[],2,0)</f>
        <v>MICRO ONDE</v>
      </c>
      <c r="E57" s="48" t="str">
        <f>VLOOKUP(C57,ListeM[],3,0)</f>
        <v>ELECTROMENAGER</v>
      </c>
      <c r="F57" s="48" t="str">
        <f>VLOOKUP(C57,ListeM[],4,0)</f>
        <v>PIECE</v>
      </c>
      <c r="G57" s="48">
        <f>VLOOKUP(C57,ListeM[],5,0)</f>
        <v>5</v>
      </c>
      <c r="H57" s="48">
        <f>VLOOKUP(C57,ListeM[],6,0)</f>
        <v>20</v>
      </c>
      <c r="I57" s="48">
        <f>SUMIFS(ListeE[Quantité],ListeE[Référence],Inventaires!C57)</f>
        <v>0</v>
      </c>
      <c r="J57" s="48">
        <f>SUMIFS(ListeS[Quantité],ListeS[Référence],Inventaires!C57)</f>
        <v>0</v>
      </c>
      <c r="K57" s="48">
        <f t="shared" si="0"/>
        <v>20</v>
      </c>
      <c r="L57" s="58">
        <f>(SUMIF(ListeM[Référence],C57,ListeM[Total])+SUMIF(ListeE[Référence],C57,ListeE[Total]))/(H57+I57)</f>
        <v>80000</v>
      </c>
      <c r="M57" s="58">
        <f t="shared" si="1"/>
        <v>1600000</v>
      </c>
      <c r="N57" s="49" t="str">
        <f t="shared" si="2"/>
        <v>Stock normal</v>
      </c>
    </row>
    <row r="58" spans="2:14" thickBot="1" x14ac:dyDescent="0.4">
      <c r="B58" s="5"/>
      <c r="C58" s="48" t="str">
        <v>ALI051</v>
      </c>
      <c r="D58" s="48" t="str">
        <f>VLOOKUP(C58,ListeM[],2,0)</f>
        <v>RIZ 25KG</v>
      </c>
      <c r="E58" s="48" t="str">
        <f>VLOOKUP(C58,ListeM[],3,0)</f>
        <v>ALIMENTAIRE</v>
      </c>
      <c r="F58" s="48" t="str">
        <f>VLOOKUP(C58,ListeM[],4,0)</f>
        <v>SAC</v>
      </c>
      <c r="G58" s="48">
        <f>VLOOKUP(C58,ListeM[],5,0)</f>
        <v>10</v>
      </c>
      <c r="H58" s="48">
        <f>VLOOKUP(C58,ListeM[],6,0)</f>
        <v>100</v>
      </c>
      <c r="I58" s="48">
        <f>SUMIFS(ListeE[Quantité],ListeE[Référence],Inventaires!C58)</f>
        <v>0</v>
      </c>
      <c r="J58" s="48">
        <f>SUMIFS(ListeS[Quantité],ListeS[Référence],Inventaires!C58)</f>
        <v>0</v>
      </c>
      <c r="K58" s="48">
        <f t="shared" si="0"/>
        <v>100</v>
      </c>
      <c r="L58" s="58">
        <f>(SUMIF(ListeM[Référence],C58,ListeM[Total])+SUMIF(ListeE[Référence],C58,ListeE[Total]))/(H58+I58)</f>
        <v>15000</v>
      </c>
      <c r="M58" s="58">
        <f t="shared" si="1"/>
        <v>1500000</v>
      </c>
      <c r="N58" s="49" t="str">
        <f t="shared" si="2"/>
        <v>Stock normal</v>
      </c>
    </row>
    <row r="59" spans="2:14" thickBot="1" x14ac:dyDescent="0.4">
      <c r="B59" s="5"/>
      <c r="C59" s="48" t="str">
        <v>ALI052</v>
      </c>
      <c r="D59" s="48" t="str">
        <f>VLOOKUP(C59,ListeM[],2,0)</f>
        <v>SUCRE 1KG</v>
      </c>
      <c r="E59" s="48" t="str">
        <f>VLOOKUP(C59,ListeM[],3,0)</f>
        <v>ALIMENTAIRE</v>
      </c>
      <c r="F59" s="48" t="str">
        <f>VLOOKUP(C59,ListeM[],4,0)</f>
        <v>PIECE</v>
      </c>
      <c r="G59" s="48">
        <f>VLOOKUP(C59,ListeM[],5,0)</f>
        <v>30</v>
      </c>
      <c r="H59" s="48">
        <f>VLOOKUP(C59,ListeM[],6,0)</f>
        <v>200</v>
      </c>
      <c r="I59" s="48">
        <f>SUMIFS(ListeE[Quantité],ListeE[Référence],Inventaires!C59)</f>
        <v>0</v>
      </c>
      <c r="J59" s="48">
        <f>SUMIFS(ListeS[Quantité],ListeS[Référence],Inventaires!C59)</f>
        <v>0</v>
      </c>
      <c r="K59" s="48">
        <f t="shared" si="0"/>
        <v>200</v>
      </c>
      <c r="L59" s="58">
        <f>(SUMIF(ListeM[Référence],C59,ListeM[Total])+SUMIF(ListeE[Référence],C59,ListeE[Total]))/(H59+I59)</f>
        <v>800</v>
      </c>
      <c r="M59" s="58">
        <f t="shared" si="1"/>
        <v>160000</v>
      </c>
      <c r="N59" s="49" t="str">
        <f t="shared" si="2"/>
        <v>Stock normal</v>
      </c>
    </row>
    <row r="60" spans="2:14" thickBot="1" x14ac:dyDescent="0.4">
      <c r="B60" s="5"/>
      <c r="C60" s="48" t="str">
        <v>ALI053</v>
      </c>
      <c r="D60" s="48" t="str">
        <f>VLOOKUP(C60,ListeM[],2,0)</f>
        <v>HUILE 1L</v>
      </c>
      <c r="E60" s="48" t="str">
        <f>VLOOKUP(C60,ListeM[],3,0)</f>
        <v>ALIMENTAIRE</v>
      </c>
      <c r="F60" s="48" t="str">
        <f>VLOOKUP(C60,ListeM[],4,0)</f>
        <v>PIECE</v>
      </c>
      <c r="G60" s="48">
        <f>VLOOKUP(C60,ListeM[],5,0)</f>
        <v>20</v>
      </c>
      <c r="H60" s="48">
        <f>VLOOKUP(C60,ListeM[],6,0)</f>
        <v>150</v>
      </c>
      <c r="I60" s="48">
        <f>SUMIFS(ListeE[Quantité],ListeE[Référence],Inventaires!C60)</f>
        <v>0</v>
      </c>
      <c r="J60" s="48">
        <f>SUMIFS(ListeS[Quantité],ListeS[Référence],Inventaires!C60)</f>
        <v>0</v>
      </c>
      <c r="K60" s="48">
        <f t="shared" si="0"/>
        <v>150</v>
      </c>
      <c r="L60" s="58">
        <f>(SUMIF(ListeM[Référence],C60,ListeM[Total])+SUMIF(ListeE[Référence],C60,ListeE[Total]))/(H60+I60)</f>
        <v>1500</v>
      </c>
      <c r="M60" s="58">
        <f t="shared" si="1"/>
        <v>225000</v>
      </c>
      <c r="N60" s="49" t="str">
        <f t="shared" si="2"/>
        <v>Stock normal</v>
      </c>
    </row>
    <row r="61" spans="2:14" thickBot="1" x14ac:dyDescent="0.4">
      <c r="B61" s="5"/>
      <c r="C61" s="48" t="str">
        <v>ALI054</v>
      </c>
      <c r="D61" s="48" t="str">
        <f>VLOOKUP(C61,ListeM[],2,0)</f>
        <v>LAIT EN POUDRE</v>
      </c>
      <c r="E61" s="48" t="str">
        <f>VLOOKUP(C61,ListeM[],3,0)</f>
        <v>ALIMENTAIRE</v>
      </c>
      <c r="F61" s="48" t="str">
        <f>VLOOKUP(C61,ListeM[],4,0)</f>
        <v>PIECE</v>
      </c>
      <c r="G61" s="48">
        <f>VLOOKUP(C61,ListeM[],5,0)</f>
        <v>20</v>
      </c>
      <c r="H61" s="48">
        <f>VLOOKUP(C61,ListeM[],6,0)</f>
        <v>120</v>
      </c>
      <c r="I61" s="48">
        <f>SUMIFS(ListeE[Quantité],ListeE[Référence],Inventaires!C61)</f>
        <v>0</v>
      </c>
      <c r="J61" s="48">
        <f>SUMIFS(ListeS[Quantité],ListeS[Référence],Inventaires!C61)</f>
        <v>30</v>
      </c>
      <c r="K61" s="48">
        <f t="shared" si="0"/>
        <v>90</v>
      </c>
      <c r="L61" s="58">
        <f>(SUMIF(ListeM[Référence],C61,ListeM[Total])+SUMIF(ListeE[Référence],C61,ListeE[Total]))/(H61+I61)</f>
        <v>2500</v>
      </c>
      <c r="M61" s="58">
        <f t="shared" si="1"/>
        <v>225000</v>
      </c>
      <c r="N61" s="49" t="str">
        <f t="shared" si="2"/>
        <v>Stock normal</v>
      </c>
    </row>
    <row r="62" spans="2:14" thickBot="1" x14ac:dyDescent="0.4">
      <c r="B62" s="5"/>
      <c r="C62" s="48" t="str">
        <v>ALI055</v>
      </c>
      <c r="D62" s="48" t="str">
        <f>VLOOKUP(C62,ListeM[],2,0)</f>
        <v>PATES 500G</v>
      </c>
      <c r="E62" s="48" t="str">
        <f>VLOOKUP(C62,ListeM[],3,0)</f>
        <v>ALIMENTAIRE</v>
      </c>
      <c r="F62" s="48" t="str">
        <f>VLOOKUP(C62,ListeM[],4,0)</f>
        <v>PIECE</v>
      </c>
      <c r="G62" s="48">
        <f>VLOOKUP(C62,ListeM[],5,0)</f>
        <v>30</v>
      </c>
      <c r="H62" s="48">
        <f>VLOOKUP(C62,ListeM[],6,0)</f>
        <v>180</v>
      </c>
      <c r="I62" s="48">
        <f>SUMIFS(ListeE[Quantité],ListeE[Référence],Inventaires!C62)</f>
        <v>0</v>
      </c>
      <c r="J62" s="48">
        <f>SUMIFS(ListeS[Quantité],ListeS[Référence],Inventaires!C62)</f>
        <v>0</v>
      </c>
      <c r="K62" s="48">
        <f t="shared" si="0"/>
        <v>180</v>
      </c>
      <c r="L62" s="58">
        <f>(SUMIF(ListeM[Référence],C62,ListeM[Total])+SUMIF(ListeE[Référence],C62,ListeE[Total]))/(H62+I62)</f>
        <v>700</v>
      </c>
      <c r="M62" s="58">
        <f t="shared" si="1"/>
        <v>126000</v>
      </c>
      <c r="N62" s="49" t="str">
        <f t="shared" si="2"/>
        <v>Stock normal</v>
      </c>
    </row>
    <row r="63" spans="2:14" thickBot="1" x14ac:dyDescent="0.4">
      <c r="B63" s="5"/>
      <c r="C63" s="48" t="str">
        <v>ALI056</v>
      </c>
      <c r="D63" s="48" t="str">
        <f>VLOOKUP(C63,ListeM[],2,0)</f>
        <v>EAU MINERALE</v>
      </c>
      <c r="E63" s="48" t="str">
        <f>VLOOKUP(C63,ListeM[],3,0)</f>
        <v>ALIMENTAIRE</v>
      </c>
      <c r="F63" s="48" t="str">
        <f>VLOOKUP(C63,ListeM[],4,0)</f>
        <v>PAQUET</v>
      </c>
      <c r="G63" s="48">
        <f>VLOOKUP(C63,ListeM[],5,0)</f>
        <v>30</v>
      </c>
      <c r="H63" s="48">
        <f>VLOOKUP(C63,ListeM[],6,0)</f>
        <v>300</v>
      </c>
      <c r="I63" s="48">
        <f>SUMIFS(ListeE[Quantité],ListeE[Référence],Inventaires!C63)</f>
        <v>0</v>
      </c>
      <c r="J63" s="48">
        <f>SUMIFS(ListeS[Quantité],ListeS[Référence],Inventaires!C63)</f>
        <v>0</v>
      </c>
      <c r="K63" s="48">
        <f t="shared" si="0"/>
        <v>300</v>
      </c>
      <c r="L63" s="58">
        <f>(SUMIF(ListeM[Référence],C63,ListeM[Total])+SUMIF(ListeE[Référence],C63,ListeE[Total]))/(H63+I63)</f>
        <v>2500</v>
      </c>
      <c r="M63" s="58">
        <f t="shared" si="1"/>
        <v>750000</v>
      </c>
      <c r="N63" s="49" t="str">
        <f t="shared" si="2"/>
        <v>Stock normal</v>
      </c>
    </row>
    <row r="64" spans="2:14" thickBot="1" x14ac:dyDescent="0.4">
      <c r="B64" s="5"/>
      <c r="C64" s="48" t="str">
        <v>ALI057</v>
      </c>
      <c r="D64" s="48" t="str">
        <f>VLOOKUP(C64,ListeM[],2,0)</f>
        <v>JUS EN BOUTEILLE</v>
      </c>
      <c r="E64" s="48" t="str">
        <f>VLOOKUP(C64,ListeM[],3,0)</f>
        <v>ALIMENTAIRE</v>
      </c>
      <c r="F64" s="48" t="str">
        <f>VLOOKUP(C64,ListeM[],4,0)</f>
        <v>PIECE</v>
      </c>
      <c r="G64" s="48">
        <f>VLOOKUP(C64,ListeM[],5,0)</f>
        <v>20</v>
      </c>
      <c r="H64" s="48">
        <f>VLOOKUP(C64,ListeM[],6,0)</f>
        <v>150</v>
      </c>
      <c r="I64" s="48">
        <f>SUMIFS(ListeE[Quantité],ListeE[Référence],Inventaires!C64)</f>
        <v>0</v>
      </c>
      <c r="J64" s="48">
        <f>SUMIFS(ListeS[Quantité],ListeS[Référence],Inventaires!C64)</f>
        <v>0</v>
      </c>
      <c r="K64" s="48">
        <f t="shared" si="0"/>
        <v>150</v>
      </c>
      <c r="L64" s="58">
        <f>(SUMIF(ListeM[Référence],C64,ListeM[Total])+SUMIF(ListeE[Référence],C64,ListeE[Total]))/(H64+I64)</f>
        <v>1000</v>
      </c>
      <c r="M64" s="58">
        <f t="shared" si="1"/>
        <v>150000</v>
      </c>
      <c r="N64" s="49" t="str">
        <f t="shared" si="2"/>
        <v>Stock normal</v>
      </c>
    </row>
    <row r="65" spans="2:14" thickBot="1" x14ac:dyDescent="0.4">
      <c r="B65" s="5"/>
      <c r="C65" s="48" t="str">
        <v>ALI058</v>
      </c>
      <c r="D65" s="48" t="str">
        <f>VLOOKUP(C65,ListeM[],2,0)</f>
        <v>BISCUITS</v>
      </c>
      <c r="E65" s="48" t="str">
        <f>VLOOKUP(C65,ListeM[],3,0)</f>
        <v>ALIMENTAIRE</v>
      </c>
      <c r="F65" s="48" t="str">
        <f>VLOOKUP(C65,ListeM[],4,0)</f>
        <v>PIECE</v>
      </c>
      <c r="G65" s="48">
        <f>VLOOKUP(C65,ListeM[],5,0)</f>
        <v>30</v>
      </c>
      <c r="H65" s="48">
        <f>VLOOKUP(C65,ListeM[],6,0)</f>
        <v>200</v>
      </c>
      <c r="I65" s="48">
        <f>SUMIFS(ListeE[Quantité],ListeE[Référence],Inventaires!C65)</f>
        <v>0</v>
      </c>
      <c r="J65" s="48">
        <f>SUMIFS(ListeS[Quantité],ListeS[Référence],Inventaires!C65)</f>
        <v>0</v>
      </c>
      <c r="K65" s="48">
        <f t="shared" si="0"/>
        <v>200</v>
      </c>
      <c r="L65" s="58">
        <f>(SUMIF(ListeM[Référence],C65,ListeM[Total])+SUMIF(ListeE[Référence],C65,ListeE[Total]))/(H65+I65)</f>
        <v>500</v>
      </c>
      <c r="M65" s="58">
        <f t="shared" si="1"/>
        <v>100000</v>
      </c>
      <c r="N65" s="49" t="str">
        <f t="shared" si="2"/>
        <v>Stock normal</v>
      </c>
    </row>
    <row r="66" spans="2:14" thickBot="1" x14ac:dyDescent="0.4">
      <c r="B66" s="5"/>
      <c r="C66" s="48" t="str">
        <v>ALI059</v>
      </c>
      <c r="D66" s="48" t="str">
        <f>VLOOKUP(C66,ListeM[],2,0)</f>
        <v>CAFE</v>
      </c>
      <c r="E66" s="48" t="str">
        <f>VLOOKUP(C66,ListeM[],3,0)</f>
        <v>ALIMENTAIRE</v>
      </c>
      <c r="F66" s="48" t="str">
        <f>VLOOKUP(C66,ListeM[],4,0)</f>
        <v>PIECE</v>
      </c>
      <c r="G66" s="48">
        <f>VLOOKUP(C66,ListeM[],5,0)</f>
        <v>20</v>
      </c>
      <c r="H66" s="48">
        <f>VLOOKUP(C66,ListeM[],6,0)</f>
        <v>100</v>
      </c>
      <c r="I66" s="48">
        <f>SUMIFS(ListeE[Quantité],ListeE[Référence],Inventaires!C66)</f>
        <v>0</v>
      </c>
      <c r="J66" s="48">
        <f>SUMIFS(ListeS[Quantité],ListeS[Référence],Inventaires!C66)</f>
        <v>0</v>
      </c>
      <c r="K66" s="48">
        <f t="shared" si="0"/>
        <v>100</v>
      </c>
      <c r="L66" s="58">
        <f>(SUMIF(ListeM[Référence],C66,ListeM[Total])+SUMIF(ListeE[Référence],C66,ListeE[Total]))/(H66+I66)</f>
        <v>2000</v>
      </c>
      <c r="M66" s="58">
        <f t="shared" si="1"/>
        <v>200000</v>
      </c>
      <c r="N66" s="49" t="str">
        <f t="shared" si="2"/>
        <v>Stock normal</v>
      </c>
    </row>
    <row r="67" spans="2:14" thickBot="1" x14ac:dyDescent="0.4">
      <c r="B67" s="5"/>
      <c r="C67" s="48" t="str">
        <v>ALI060</v>
      </c>
      <c r="D67" s="48" t="str">
        <f>VLOOKUP(C67,ListeM[],2,0)</f>
        <v>THE</v>
      </c>
      <c r="E67" s="48" t="str">
        <f>VLOOKUP(C67,ListeM[],3,0)</f>
        <v>ALIMENTAIRE</v>
      </c>
      <c r="F67" s="48" t="str">
        <f>VLOOKUP(C67,ListeM[],4,0)</f>
        <v>PIECE</v>
      </c>
      <c r="G67" s="48">
        <f>VLOOKUP(C67,ListeM[],5,0)</f>
        <v>20</v>
      </c>
      <c r="H67" s="48">
        <f>VLOOKUP(C67,ListeM[],6,0)</f>
        <v>90</v>
      </c>
      <c r="I67" s="48">
        <f>SUMIFS(ListeE[Quantité],ListeE[Référence],Inventaires!C67)</f>
        <v>0</v>
      </c>
      <c r="J67" s="48">
        <f>SUMIFS(ListeS[Quantité],ListeS[Référence],Inventaires!C67)</f>
        <v>0</v>
      </c>
      <c r="K67" s="48">
        <f t="shared" si="0"/>
        <v>90</v>
      </c>
      <c r="L67" s="58">
        <f>(SUMIF(ListeM[Référence],C67,ListeM[Total])+SUMIF(ListeE[Référence],C67,ListeE[Total]))/(H67+I67)</f>
        <v>1500</v>
      </c>
      <c r="M67" s="58">
        <f t="shared" si="1"/>
        <v>135000</v>
      </c>
      <c r="N67" s="49" t="str">
        <f t="shared" si="2"/>
        <v>Stock normal</v>
      </c>
    </row>
    <row r="68" spans="2:14" thickBot="1" x14ac:dyDescent="0.4">
      <c r="B68" s="5"/>
      <c r="C68" s="48" t="str">
        <v>ENT061</v>
      </c>
      <c r="D68" s="48" t="str">
        <f>VLOOKUP(C68,ListeM[],2,0)</f>
        <v>SAVON</v>
      </c>
      <c r="E68" s="48" t="str">
        <f>VLOOKUP(C68,ListeM[],3,0)</f>
        <v>ENTRETIEN</v>
      </c>
      <c r="F68" s="48" t="str">
        <f>VLOOKUP(C68,ListeM[],4,0)</f>
        <v>PIECE</v>
      </c>
      <c r="G68" s="48">
        <f>VLOOKUP(C68,ListeM[],5,0)</f>
        <v>30</v>
      </c>
      <c r="H68" s="48">
        <f>VLOOKUP(C68,ListeM[],6,0)</f>
        <v>200</v>
      </c>
      <c r="I68" s="48">
        <f>SUMIFS(ListeE[Quantité],ListeE[Référence],Inventaires!C68)</f>
        <v>0</v>
      </c>
      <c r="J68" s="48">
        <f>SUMIFS(ListeS[Quantité],ListeS[Référence],Inventaires!C68)</f>
        <v>0</v>
      </c>
      <c r="K68" s="48">
        <f t="shared" si="0"/>
        <v>200</v>
      </c>
      <c r="L68" s="58">
        <f>(SUMIF(ListeM[Référence],C68,ListeM[Total])+SUMIF(ListeE[Référence],C68,ListeE[Total]))/(H68+I68)</f>
        <v>500</v>
      </c>
      <c r="M68" s="58">
        <f t="shared" si="1"/>
        <v>100000</v>
      </c>
      <c r="N68" s="49" t="str">
        <f t="shared" si="2"/>
        <v>Stock normal</v>
      </c>
    </row>
    <row r="69" spans="2:14" thickBot="1" x14ac:dyDescent="0.4">
      <c r="B69" s="5"/>
      <c r="C69" s="48" t="str">
        <v>ENT062</v>
      </c>
      <c r="D69" s="48" t="str">
        <f>VLOOKUP(C69,ListeM[],2,0)</f>
        <v>EAU DE JAVEL</v>
      </c>
      <c r="E69" s="48" t="str">
        <f>VLOOKUP(C69,ListeM[],3,0)</f>
        <v>ENTRETIEN</v>
      </c>
      <c r="F69" s="48" t="str">
        <f>VLOOKUP(C69,ListeM[],4,0)</f>
        <v>PIECE</v>
      </c>
      <c r="G69" s="48">
        <f>VLOOKUP(C69,ListeM[],5,0)</f>
        <v>20</v>
      </c>
      <c r="H69" s="48">
        <f>VLOOKUP(C69,ListeM[],6,0)</f>
        <v>150</v>
      </c>
      <c r="I69" s="48">
        <f>SUMIFS(ListeE[Quantité],ListeE[Référence],Inventaires!C69)</f>
        <v>0</v>
      </c>
      <c r="J69" s="48">
        <f>SUMIFS(ListeS[Quantité],ListeS[Référence],Inventaires!C69)</f>
        <v>0</v>
      </c>
      <c r="K69" s="48">
        <f t="shared" si="0"/>
        <v>150</v>
      </c>
      <c r="L69" s="58">
        <f>(SUMIF(ListeM[Référence],C69,ListeM[Total])+SUMIF(ListeE[Référence],C69,ListeE[Total]))/(H69+I69)</f>
        <v>1000</v>
      </c>
      <c r="M69" s="58">
        <f t="shared" si="1"/>
        <v>150000</v>
      </c>
      <c r="N69" s="49" t="str">
        <f t="shared" si="2"/>
        <v>Stock normal</v>
      </c>
    </row>
    <row r="70" spans="2:14" thickBot="1" x14ac:dyDescent="0.4">
      <c r="B70" s="5"/>
      <c r="C70" s="48" t="str">
        <v>ENT063</v>
      </c>
      <c r="D70" s="48" t="str">
        <f>VLOOKUP(C70,ListeM[],2,0)</f>
        <v>DETERGENT</v>
      </c>
      <c r="E70" s="48" t="str">
        <f>VLOOKUP(C70,ListeM[],3,0)</f>
        <v>ENTRETIEN</v>
      </c>
      <c r="F70" s="48" t="str">
        <f>VLOOKUP(C70,ListeM[],4,0)</f>
        <v>PIECE</v>
      </c>
      <c r="G70" s="48">
        <f>VLOOKUP(C70,ListeM[],5,0)</f>
        <v>20</v>
      </c>
      <c r="H70" s="48">
        <f>VLOOKUP(C70,ListeM[],6,0)</f>
        <v>140</v>
      </c>
      <c r="I70" s="48">
        <f>SUMIFS(ListeE[Quantité],ListeE[Référence],Inventaires!C70)</f>
        <v>0</v>
      </c>
      <c r="J70" s="48">
        <f>SUMIFS(ListeS[Quantité],ListeS[Référence],Inventaires!C70)</f>
        <v>0</v>
      </c>
      <c r="K70" s="48">
        <f t="shared" si="0"/>
        <v>140</v>
      </c>
      <c r="L70" s="58">
        <f>(SUMIF(ListeM[Référence],C70,ListeM[Total])+SUMIF(ListeE[Référence],C70,ListeE[Total]))/(H70+I70)</f>
        <v>1500</v>
      </c>
      <c r="M70" s="58">
        <f t="shared" si="1"/>
        <v>210000</v>
      </c>
      <c r="N70" s="49" t="str">
        <f t="shared" si="2"/>
        <v>Stock normal</v>
      </c>
    </row>
    <row r="71" spans="2:14" thickBot="1" x14ac:dyDescent="0.4">
      <c r="B71" s="5"/>
      <c r="C71" s="48" t="str">
        <v>ENT064</v>
      </c>
      <c r="D71" s="48" t="str">
        <f>VLOOKUP(C71,ListeM[],2,0)</f>
        <v>BALAI</v>
      </c>
      <c r="E71" s="48" t="str">
        <f>VLOOKUP(C71,ListeM[],3,0)</f>
        <v>ENTRETIEN</v>
      </c>
      <c r="F71" s="48" t="str">
        <f>VLOOKUP(C71,ListeM[],4,0)</f>
        <v>PIECE</v>
      </c>
      <c r="G71" s="48">
        <f>VLOOKUP(C71,ListeM[],5,0)</f>
        <v>10</v>
      </c>
      <c r="H71" s="48">
        <f>VLOOKUP(C71,ListeM[],6,0)</f>
        <v>50</v>
      </c>
      <c r="I71" s="48">
        <f>SUMIFS(ListeE[Quantité],ListeE[Référence],Inventaires!C71)</f>
        <v>0</v>
      </c>
      <c r="J71" s="48">
        <f>SUMIFS(ListeS[Quantité],ListeS[Référence],Inventaires!C71)</f>
        <v>0</v>
      </c>
      <c r="K71" s="48">
        <f t="shared" ref="K71:K107" si="3">IF((H71+I71-J71)&gt;=1,H71+I71-J71,0)</f>
        <v>50</v>
      </c>
      <c r="L71" s="58">
        <f>(SUMIF(ListeM[Référence],C71,ListeM[Total])+SUMIF(ListeE[Référence],C71,ListeE[Total]))/(H71+I71)</f>
        <v>3000</v>
      </c>
      <c r="M71" s="58">
        <f t="shared" ref="M71:M107" si="4">L71*K71</f>
        <v>150000</v>
      </c>
      <c r="N71" s="49" t="str">
        <f t="shared" ref="N71:N107" si="5">IF(K71&gt;G71,"Stock normal",IF(K71=0,"En rupture","Stock faible"))</f>
        <v>Stock normal</v>
      </c>
    </row>
    <row r="72" spans="2:14" thickBot="1" x14ac:dyDescent="0.4">
      <c r="B72" s="5"/>
      <c r="C72" s="48" t="str">
        <v>ENT065</v>
      </c>
      <c r="D72" s="48" t="str">
        <f>VLOOKUP(C72,ListeM[],2,0)</f>
        <v>SERPILLIERE</v>
      </c>
      <c r="E72" s="48" t="str">
        <f>VLOOKUP(C72,ListeM[],3,0)</f>
        <v>ENTRETIEN</v>
      </c>
      <c r="F72" s="48" t="str">
        <f>VLOOKUP(C72,ListeM[],4,0)</f>
        <v>PIECE</v>
      </c>
      <c r="G72" s="48">
        <f>VLOOKUP(C72,ListeM[],5,0)</f>
        <v>10</v>
      </c>
      <c r="H72" s="48">
        <f>VLOOKUP(C72,ListeM[],6,0)</f>
        <v>60</v>
      </c>
      <c r="I72" s="48">
        <f>SUMIFS(ListeE[Quantité],ListeE[Référence],Inventaires!C72)</f>
        <v>0</v>
      </c>
      <c r="J72" s="48">
        <f>SUMIFS(ListeS[Quantité],ListeS[Référence],Inventaires!C72)</f>
        <v>0</v>
      </c>
      <c r="K72" s="48">
        <f t="shared" si="3"/>
        <v>60</v>
      </c>
      <c r="L72" s="58">
        <f>(SUMIF(ListeM[Référence],C72,ListeM[Total])+SUMIF(ListeE[Référence],C72,ListeE[Total]))/(H72+I72)</f>
        <v>2500</v>
      </c>
      <c r="M72" s="58">
        <f t="shared" si="4"/>
        <v>150000</v>
      </c>
      <c r="N72" s="49" t="str">
        <f t="shared" si="5"/>
        <v>Stock normal</v>
      </c>
    </row>
    <row r="73" spans="2:14" thickBot="1" x14ac:dyDescent="0.4">
      <c r="B73" s="5"/>
      <c r="C73" s="48" t="str">
        <v>ENT066</v>
      </c>
      <c r="D73" s="48" t="str">
        <f>VLOOKUP(C73,ListeM[],2,0)</f>
        <v>SEAU</v>
      </c>
      <c r="E73" s="48" t="str">
        <f>VLOOKUP(C73,ListeM[],3,0)</f>
        <v>ENTRETIEN</v>
      </c>
      <c r="F73" s="48" t="str">
        <f>VLOOKUP(C73,ListeM[],4,0)</f>
        <v>PIECE</v>
      </c>
      <c r="G73" s="48">
        <f>VLOOKUP(C73,ListeM[],5,0)</f>
        <v>10</v>
      </c>
      <c r="H73" s="48">
        <f>VLOOKUP(C73,ListeM[],6,0)</f>
        <v>40</v>
      </c>
      <c r="I73" s="48">
        <f>SUMIFS(ListeE[Quantité],ListeE[Référence],Inventaires!C73)</f>
        <v>0</v>
      </c>
      <c r="J73" s="48">
        <f>SUMIFS(ListeS[Quantité],ListeS[Référence],Inventaires!C73)</f>
        <v>0</v>
      </c>
      <c r="K73" s="48">
        <f t="shared" si="3"/>
        <v>40</v>
      </c>
      <c r="L73" s="58">
        <f>(SUMIF(ListeM[Référence],C73,ListeM[Total])+SUMIF(ListeE[Référence],C73,ListeE[Total]))/(H73+I73)</f>
        <v>2000</v>
      </c>
      <c r="M73" s="58">
        <f t="shared" si="4"/>
        <v>80000</v>
      </c>
      <c r="N73" s="49" t="str">
        <f t="shared" si="5"/>
        <v>Stock normal</v>
      </c>
    </row>
    <row r="74" spans="2:14" thickBot="1" x14ac:dyDescent="0.4">
      <c r="B74" s="5"/>
      <c r="C74" s="48" t="str">
        <v>ENT067</v>
      </c>
      <c r="D74" s="48" t="str">
        <f>VLOOKUP(C74,ListeM[],2,0)</f>
        <v>EPONGE</v>
      </c>
      <c r="E74" s="48" t="str">
        <f>VLOOKUP(C74,ListeM[],3,0)</f>
        <v>ENTRETIEN</v>
      </c>
      <c r="F74" s="48" t="str">
        <f>VLOOKUP(C74,ListeM[],4,0)</f>
        <v>PIECE</v>
      </c>
      <c r="G74" s="48">
        <f>VLOOKUP(C74,ListeM[],5,0)</f>
        <v>30</v>
      </c>
      <c r="H74" s="48">
        <f>VLOOKUP(C74,ListeM[],6,0)</f>
        <v>180</v>
      </c>
      <c r="I74" s="48">
        <f>SUMIFS(ListeE[Quantité],ListeE[Référence],Inventaires!C74)</f>
        <v>0</v>
      </c>
      <c r="J74" s="48">
        <f>SUMIFS(ListeS[Quantité],ListeS[Référence],Inventaires!C74)</f>
        <v>0</v>
      </c>
      <c r="K74" s="48">
        <f t="shared" si="3"/>
        <v>180</v>
      </c>
      <c r="L74" s="58">
        <f>(SUMIF(ListeM[Référence],C74,ListeM[Total])+SUMIF(ListeE[Référence],C74,ListeE[Total]))/(H74+I74)</f>
        <v>300</v>
      </c>
      <c r="M74" s="58">
        <f t="shared" si="4"/>
        <v>54000</v>
      </c>
      <c r="N74" s="49" t="str">
        <f t="shared" si="5"/>
        <v>Stock normal</v>
      </c>
    </row>
    <row r="75" spans="2:14" thickBot="1" x14ac:dyDescent="0.4">
      <c r="B75" s="5"/>
      <c r="C75" s="48" t="str">
        <v>ENT068</v>
      </c>
      <c r="D75" s="48" t="str">
        <f>VLOOKUP(C75,ListeM[],2,0)</f>
        <v>PAPIER TOILETTE</v>
      </c>
      <c r="E75" s="48" t="str">
        <f>VLOOKUP(C75,ListeM[],3,0)</f>
        <v>ENTRETIEN</v>
      </c>
      <c r="F75" s="48" t="str">
        <f>VLOOKUP(C75,ListeM[],4,0)</f>
        <v>PAQUET</v>
      </c>
      <c r="G75" s="48">
        <f>VLOOKUP(C75,ListeM[],5,0)</f>
        <v>30</v>
      </c>
      <c r="H75" s="48">
        <f>VLOOKUP(C75,ListeM[],6,0)</f>
        <v>200</v>
      </c>
      <c r="I75" s="48">
        <f>SUMIFS(ListeE[Quantité],ListeE[Référence],Inventaires!C75)</f>
        <v>0</v>
      </c>
      <c r="J75" s="48">
        <f>SUMIFS(ListeS[Quantité],ListeS[Référence],Inventaires!C75)</f>
        <v>0</v>
      </c>
      <c r="K75" s="48">
        <f t="shared" si="3"/>
        <v>200</v>
      </c>
      <c r="L75" s="58">
        <f>(SUMIF(ListeM[Référence],C75,ListeM[Total])+SUMIF(ListeE[Référence],C75,ListeE[Total]))/(H75+I75)</f>
        <v>2500</v>
      </c>
      <c r="M75" s="58">
        <f t="shared" si="4"/>
        <v>500000</v>
      </c>
      <c r="N75" s="49" t="str">
        <f t="shared" si="5"/>
        <v>Stock normal</v>
      </c>
    </row>
    <row r="76" spans="2:14" thickBot="1" x14ac:dyDescent="0.4">
      <c r="B76" s="5"/>
      <c r="C76" s="48" t="str">
        <v>ENT069</v>
      </c>
      <c r="D76" s="48" t="str">
        <f>VLOOKUP(C76,ListeM[],2,0)</f>
        <v>MOUCHOIR</v>
      </c>
      <c r="E76" s="48" t="str">
        <f>VLOOKUP(C76,ListeM[],3,0)</f>
        <v>ENTRETIEN</v>
      </c>
      <c r="F76" s="48" t="str">
        <f>VLOOKUP(C76,ListeM[],4,0)</f>
        <v>PAQUET</v>
      </c>
      <c r="G76" s="48">
        <f>VLOOKUP(C76,ListeM[],5,0)</f>
        <v>30</v>
      </c>
      <c r="H76" s="48">
        <f>VLOOKUP(C76,ListeM[],6,0)</f>
        <v>180</v>
      </c>
      <c r="I76" s="48">
        <f>SUMIFS(ListeE[Quantité],ListeE[Référence],Inventaires!C76)</f>
        <v>0</v>
      </c>
      <c r="J76" s="48">
        <f>SUMIFS(ListeS[Quantité],ListeS[Référence],Inventaires!C76)</f>
        <v>0</v>
      </c>
      <c r="K76" s="48">
        <f t="shared" si="3"/>
        <v>180</v>
      </c>
      <c r="L76" s="58">
        <f>(SUMIF(ListeM[Référence],C76,ListeM[Total])+SUMIF(ListeE[Référence],C76,ListeE[Total]))/(H76+I76)</f>
        <v>1000</v>
      </c>
      <c r="M76" s="58">
        <f t="shared" si="4"/>
        <v>180000</v>
      </c>
      <c r="N76" s="49" t="str">
        <f t="shared" si="5"/>
        <v>Stock normal</v>
      </c>
    </row>
    <row r="77" spans="2:14" thickBot="1" x14ac:dyDescent="0.4">
      <c r="B77" s="5"/>
      <c r="C77" s="48" t="str">
        <v>ENT070</v>
      </c>
      <c r="D77" s="48" t="str">
        <f>VLOOKUP(C77,ListeM[],2,0)</f>
        <v>DESINFECTANT</v>
      </c>
      <c r="E77" s="48" t="str">
        <f>VLOOKUP(C77,ListeM[],3,0)</f>
        <v>ENTRETIEN</v>
      </c>
      <c r="F77" s="48" t="str">
        <f>VLOOKUP(C77,ListeM[],4,0)</f>
        <v>PIECE</v>
      </c>
      <c r="G77" s="48">
        <f>VLOOKUP(C77,ListeM[],5,0)</f>
        <v>20</v>
      </c>
      <c r="H77" s="48">
        <f>VLOOKUP(C77,ListeM[],6,0)</f>
        <v>120</v>
      </c>
      <c r="I77" s="48">
        <f>SUMIFS(ListeE[Quantité],ListeE[Référence],Inventaires!C77)</f>
        <v>0</v>
      </c>
      <c r="J77" s="48">
        <f>SUMIFS(ListeS[Quantité],ListeS[Référence],Inventaires!C77)</f>
        <v>0</v>
      </c>
      <c r="K77" s="48">
        <f t="shared" si="3"/>
        <v>120</v>
      </c>
      <c r="L77" s="58">
        <f>(SUMIF(ListeM[Référence],C77,ListeM[Total])+SUMIF(ListeE[Référence],C77,ListeE[Total]))/(H77+I77)</f>
        <v>2000</v>
      </c>
      <c r="M77" s="58">
        <f t="shared" si="4"/>
        <v>240000</v>
      </c>
      <c r="N77" s="49" t="str">
        <f t="shared" si="5"/>
        <v>Stock normal</v>
      </c>
    </row>
    <row r="78" spans="2:14" thickBot="1" x14ac:dyDescent="0.4">
      <c r="B78" s="5"/>
      <c r="C78" s="48" t="str">
        <v>BUR071</v>
      </c>
      <c r="D78" s="48" t="str">
        <f>VLOOKUP(C78,ListeM[],2,0)</f>
        <v>STYLO</v>
      </c>
      <c r="E78" s="48" t="str">
        <f>VLOOKUP(C78,ListeM[],3,0)</f>
        <v>FOURNITURE</v>
      </c>
      <c r="F78" s="48" t="str">
        <f>VLOOKUP(C78,ListeM[],4,0)</f>
        <v>PIECE</v>
      </c>
      <c r="G78" s="48">
        <f>VLOOKUP(C78,ListeM[],5,0)</f>
        <v>50</v>
      </c>
      <c r="H78" s="48">
        <f>VLOOKUP(C78,ListeM[],6,0)</f>
        <v>500</v>
      </c>
      <c r="I78" s="48">
        <f>SUMIFS(ListeE[Quantité],ListeE[Référence],Inventaires!C78)</f>
        <v>0</v>
      </c>
      <c r="J78" s="48">
        <f>SUMIFS(ListeS[Quantité],ListeS[Référence],Inventaires!C78)</f>
        <v>0</v>
      </c>
      <c r="K78" s="48">
        <f t="shared" si="3"/>
        <v>500</v>
      </c>
      <c r="L78" s="58">
        <f>(SUMIF(ListeM[Référence],C78,ListeM[Total])+SUMIF(ListeE[Référence],C78,ListeE[Total]))/(H78+I78)</f>
        <v>100</v>
      </c>
      <c r="M78" s="58">
        <f t="shared" si="4"/>
        <v>50000</v>
      </c>
      <c r="N78" s="49" t="str">
        <f t="shared" si="5"/>
        <v>Stock normal</v>
      </c>
    </row>
    <row r="79" spans="2:14" thickBot="1" x14ac:dyDescent="0.4">
      <c r="B79" s="5"/>
      <c r="C79" s="48" t="str">
        <v>BUR072</v>
      </c>
      <c r="D79" s="48" t="str">
        <f>VLOOKUP(C79,ListeM[],2,0)</f>
        <v>CAHIER</v>
      </c>
      <c r="E79" s="48" t="str">
        <f>VLOOKUP(C79,ListeM[],3,0)</f>
        <v>FOURNITURE</v>
      </c>
      <c r="F79" s="48" t="str">
        <f>VLOOKUP(C79,ListeM[],4,0)</f>
        <v>PIECE</v>
      </c>
      <c r="G79" s="48">
        <f>VLOOKUP(C79,ListeM[],5,0)</f>
        <v>40</v>
      </c>
      <c r="H79" s="48">
        <f>VLOOKUP(C79,ListeM[],6,0)</f>
        <v>400</v>
      </c>
      <c r="I79" s="48">
        <f>SUMIFS(ListeE[Quantité],ListeE[Référence],Inventaires!C79)</f>
        <v>0</v>
      </c>
      <c r="J79" s="48">
        <f>SUMIFS(ListeS[Quantité],ListeS[Référence],Inventaires!C79)</f>
        <v>0</v>
      </c>
      <c r="K79" s="48">
        <f t="shared" si="3"/>
        <v>400</v>
      </c>
      <c r="L79" s="58">
        <f>(SUMIF(ListeM[Référence],C79,ListeM[Total])+SUMIF(ListeE[Référence],C79,ListeE[Total]))/(H79+I79)</f>
        <v>500</v>
      </c>
      <c r="M79" s="58">
        <f t="shared" si="4"/>
        <v>200000</v>
      </c>
      <c r="N79" s="49" t="str">
        <f t="shared" si="5"/>
        <v>Stock normal</v>
      </c>
    </row>
    <row r="80" spans="2:14" thickBot="1" x14ac:dyDescent="0.4">
      <c r="B80" s="5"/>
      <c r="C80" s="48" t="str">
        <v>BUR073</v>
      </c>
      <c r="D80" s="48" t="str">
        <f>VLOOKUP(C80,ListeM[],2,0)</f>
        <v>CLASSEUR</v>
      </c>
      <c r="E80" s="48" t="str">
        <f>VLOOKUP(C80,ListeM[],3,0)</f>
        <v>FOURNITURE</v>
      </c>
      <c r="F80" s="48" t="str">
        <f>VLOOKUP(C80,ListeM[],4,0)</f>
        <v>PIECE</v>
      </c>
      <c r="G80" s="48">
        <f>VLOOKUP(C80,ListeM[],5,0)</f>
        <v>20</v>
      </c>
      <c r="H80" s="48">
        <f>VLOOKUP(C80,ListeM[],6,0)</f>
        <v>200</v>
      </c>
      <c r="I80" s="48">
        <f>SUMIFS(ListeE[Quantité],ListeE[Référence],Inventaires!C80)</f>
        <v>0</v>
      </c>
      <c r="J80" s="48">
        <f>SUMIFS(ListeS[Quantité],ListeS[Référence],Inventaires!C80)</f>
        <v>0</v>
      </c>
      <c r="K80" s="48">
        <f t="shared" si="3"/>
        <v>200</v>
      </c>
      <c r="L80" s="58">
        <f>(SUMIF(ListeM[Référence],C80,ListeM[Total])+SUMIF(ListeE[Référence],C80,ListeE[Total]))/(H80+I80)</f>
        <v>1500</v>
      </c>
      <c r="M80" s="58">
        <f t="shared" si="4"/>
        <v>300000</v>
      </c>
      <c r="N80" s="49" t="str">
        <f t="shared" si="5"/>
        <v>Stock normal</v>
      </c>
    </row>
    <row r="81" spans="2:14" thickBot="1" x14ac:dyDescent="0.4">
      <c r="B81" s="5"/>
      <c r="C81" s="48" t="str">
        <v>BUR074</v>
      </c>
      <c r="D81" s="48" t="str">
        <f>VLOOKUP(C81,ListeM[],2,0)</f>
        <v>PAPIER A4</v>
      </c>
      <c r="E81" s="48" t="str">
        <f>VLOOKUP(C81,ListeM[],3,0)</f>
        <v>FOURNITURE</v>
      </c>
      <c r="F81" s="48" t="str">
        <f>VLOOKUP(C81,ListeM[],4,0)</f>
        <v>RAME</v>
      </c>
      <c r="G81" s="48">
        <f>VLOOKUP(C81,ListeM[],5,0)</f>
        <v>20</v>
      </c>
      <c r="H81" s="48">
        <f>VLOOKUP(C81,ListeM[],6,0)</f>
        <v>150</v>
      </c>
      <c r="I81" s="48">
        <f>SUMIFS(ListeE[Quantité],ListeE[Référence],Inventaires!C81)</f>
        <v>0</v>
      </c>
      <c r="J81" s="48">
        <f>SUMIFS(ListeS[Quantité],ListeS[Référence],Inventaires!C81)</f>
        <v>0</v>
      </c>
      <c r="K81" s="48">
        <f t="shared" si="3"/>
        <v>150</v>
      </c>
      <c r="L81" s="58">
        <f>(SUMIF(ListeM[Référence],C81,ListeM[Total])+SUMIF(ListeE[Référence],C81,ListeE[Total]))/(H81+I81)</f>
        <v>3000</v>
      </c>
      <c r="M81" s="58">
        <f t="shared" si="4"/>
        <v>450000</v>
      </c>
      <c r="N81" s="49" t="str">
        <f t="shared" si="5"/>
        <v>Stock normal</v>
      </c>
    </row>
    <row r="82" spans="2:14" thickBot="1" x14ac:dyDescent="0.4">
      <c r="B82" s="5"/>
      <c r="C82" s="48" t="str">
        <v>BUR075</v>
      </c>
      <c r="D82" s="48" t="str">
        <f>VLOOKUP(C82,ListeM[],2,0)</f>
        <v>AGRAFEUSE</v>
      </c>
      <c r="E82" s="48" t="str">
        <f>VLOOKUP(C82,ListeM[],3,0)</f>
        <v>FOURNITURE</v>
      </c>
      <c r="F82" s="48" t="str">
        <f>VLOOKUP(C82,ListeM[],4,0)</f>
        <v>PIECE</v>
      </c>
      <c r="G82" s="48">
        <f>VLOOKUP(C82,ListeM[],5,0)</f>
        <v>10</v>
      </c>
      <c r="H82" s="48">
        <f>VLOOKUP(C82,ListeM[],6,0)</f>
        <v>50</v>
      </c>
      <c r="I82" s="48">
        <f>SUMIFS(ListeE[Quantité],ListeE[Référence],Inventaires!C82)</f>
        <v>0</v>
      </c>
      <c r="J82" s="48">
        <f>SUMIFS(ListeS[Quantité],ListeS[Référence],Inventaires!C82)</f>
        <v>0</v>
      </c>
      <c r="K82" s="48">
        <f t="shared" si="3"/>
        <v>50</v>
      </c>
      <c r="L82" s="58">
        <f>(SUMIF(ListeM[Référence],C82,ListeM[Total])+SUMIF(ListeE[Référence],C82,ListeE[Total]))/(H82+I82)</f>
        <v>2500</v>
      </c>
      <c r="M82" s="58">
        <f t="shared" si="4"/>
        <v>125000</v>
      </c>
      <c r="N82" s="49" t="str">
        <f t="shared" si="5"/>
        <v>Stock normal</v>
      </c>
    </row>
    <row r="83" spans="2:14" thickBot="1" x14ac:dyDescent="0.4">
      <c r="B83" s="5"/>
      <c r="C83" s="48" t="str">
        <v>BUR076</v>
      </c>
      <c r="D83" s="48" t="str">
        <f>VLOOKUP(C83,ListeM[],2,0)</f>
        <v>CALCULATRICE</v>
      </c>
      <c r="E83" s="48" t="str">
        <f>VLOOKUP(C83,ListeM[],3,0)</f>
        <v>FOURNITURE</v>
      </c>
      <c r="F83" s="48" t="str">
        <f>VLOOKUP(C83,ListeM[],4,0)</f>
        <v>PIECE</v>
      </c>
      <c r="G83" s="48">
        <f>VLOOKUP(C83,ListeM[],5,0)</f>
        <v>10</v>
      </c>
      <c r="H83" s="48">
        <f>VLOOKUP(C83,ListeM[],6,0)</f>
        <v>40</v>
      </c>
      <c r="I83" s="48">
        <f>SUMIFS(ListeE[Quantité],ListeE[Référence],Inventaires!C83)</f>
        <v>0</v>
      </c>
      <c r="J83" s="48">
        <f>SUMIFS(ListeS[Quantité],ListeS[Référence],Inventaires!C83)</f>
        <v>0</v>
      </c>
      <c r="K83" s="48">
        <f t="shared" si="3"/>
        <v>40</v>
      </c>
      <c r="L83" s="58">
        <f>(SUMIF(ListeM[Référence],C83,ListeM[Total])+SUMIF(ListeE[Référence],C83,ListeE[Total]))/(H83+I83)</f>
        <v>5000</v>
      </c>
      <c r="M83" s="58">
        <f t="shared" si="4"/>
        <v>200000</v>
      </c>
      <c r="N83" s="49" t="str">
        <f t="shared" si="5"/>
        <v>Stock normal</v>
      </c>
    </row>
    <row r="84" spans="2:14" thickBot="1" x14ac:dyDescent="0.4">
      <c r="B84" s="5"/>
      <c r="C84" s="48" t="str">
        <v>BUR077</v>
      </c>
      <c r="D84" s="48" t="str">
        <f>VLOOKUP(C84,ListeM[],2,0)</f>
        <v>MARQUEUR</v>
      </c>
      <c r="E84" s="48" t="str">
        <f>VLOOKUP(C84,ListeM[],3,0)</f>
        <v>FOURNITURE</v>
      </c>
      <c r="F84" s="48" t="str">
        <f>VLOOKUP(C84,ListeM[],4,0)</f>
        <v>PIECE</v>
      </c>
      <c r="G84" s="48">
        <f>VLOOKUP(C84,ListeM[],5,0)</f>
        <v>20</v>
      </c>
      <c r="H84" s="48">
        <f>VLOOKUP(C84,ListeM[],6,0)</f>
        <v>150</v>
      </c>
      <c r="I84" s="48">
        <f>SUMIFS(ListeE[Quantité],ListeE[Référence],Inventaires!C84)</f>
        <v>0</v>
      </c>
      <c r="J84" s="48">
        <f>SUMIFS(ListeS[Quantité],ListeS[Référence],Inventaires!C84)</f>
        <v>0</v>
      </c>
      <c r="K84" s="48">
        <f t="shared" si="3"/>
        <v>150</v>
      </c>
      <c r="L84" s="58">
        <f>(SUMIF(ListeM[Référence],C84,ListeM[Total])+SUMIF(ListeE[Référence],C84,ListeE[Total]))/(H84+I84)</f>
        <v>300</v>
      </c>
      <c r="M84" s="58">
        <f t="shared" si="4"/>
        <v>45000</v>
      </c>
      <c r="N84" s="49" t="str">
        <f t="shared" si="5"/>
        <v>Stock normal</v>
      </c>
    </row>
    <row r="85" spans="2:14" thickBot="1" x14ac:dyDescent="0.4">
      <c r="B85" s="5"/>
      <c r="C85" s="48" t="str">
        <v>BUR078</v>
      </c>
      <c r="D85" s="48" t="str">
        <f>VLOOKUP(C85,ListeM[],2,0)</f>
        <v>CRAYON</v>
      </c>
      <c r="E85" s="48" t="str">
        <f>VLOOKUP(C85,ListeM[],3,0)</f>
        <v>FOURNITURE</v>
      </c>
      <c r="F85" s="48" t="str">
        <f>VLOOKUP(C85,ListeM[],4,0)</f>
        <v>PIECE</v>
      </c>
      <c r="G85" s="48">
        <f>VLOOKUP(C85,ListeM[],5,0)</f>
        <v>50</v>
      </c>
      <c r="H85" s="48">
        <f>VLOOKUP(C85,ListeM[],6,0)</f>
        <v>400</v>
      </c>
      <c r="I85" s="48">
        <f>SUMIFS(ListeE[Quantité],ListeE[Référence],Inventaires!C85)</f>
        <v>0</v>
      </c>
      <c r="J85" s="48">
        <f>SUMIFS(ListeS[Quantité],ListeS[Référence],Inventaires!C85)</f>
        <v>0</v>
      </c>
      <c r="K85" s="48">
        <f t="shared" si="3"/>
        <v>400</v>
      </c>
      <c r="L85" s="58">
        <f>(SUMIF(ListeM[Référence],C85,ListeM[Total])+SUMIF(ListeE[Référence],C85,ListeE[Total]))/(H85+I85)</f>
        <v>100</v>
      </c>
      <c r="M85" s="58">
        <f t="shared" si="4"/>
        <v>40000</v>
      </c>
      <c r="N85" s="49" t="str">
        <f t="shared" si="5"/>
        <v>Stock normal</v>
      </c>
    </row>
    <row r="86" spans="2:14" thickBot="1" x14ac:dyDescent="0.4">
      <c r="B86" s="5"/>
      <c r="C86" s="48" t="str">
        <v>BUR079</v>
      </c>
      <c r="D86" s="48" t="str">
        <f>VLOOKUP(C86,ListeM[],2,0)</f>
        <v>GOMME</v>
      </c>
      <c r="E86" s="48" t="str">
        <f>VLOOKUP(C86,ListeM[],3,0)</f>
        <v>FOURNITURE</v>
      </c>
      <c r="F86" s="48" t="str">
        <f>VLOOKUP(C86,ListeM[],4,0)</f>
        <v>PIECE</v>
      </c>
      <c r="G86" s="48">
        <f>VLOOKUP(C86,ListeM[],5,0)</f>
        <v>50</v>
      </c>
      <c r="H86" s="48">
        <f>VLOOKUP(C86,ListeM[],6,0)</f>
        <v>300</v>
      </c>
      <c r="I86" s="48">
        <f>SUMIFS(ListeE[Quantité],ListeE[Référence],Inventaires!C86)</f>
        <v>0</v>
      </c>
      <c r="J86" s="48">
        <f>SUMIFS(ListeS[Quantité],ListeS[Référence],Inventaires!C86)</f>
        <v>0</v>
      </c>
      <c r="K86" s="48">
        <f t="shared" si="3"/>
        <v>300</v>
      </c>
      <c r="L86" s="58">
        <f>(SUMIF(ListeM[Référence],C86,ListeM[Total])+SUMIF(ListeE[Référence],C86,ListeE[Total]))/(H86+I86)</f>
        <v>50</v>
      </c>
      <c r="M86" s="58">
        <f t="shared" si="4"/>
        <v>15000</v>
      </c>
      <c r="N86" s="49" t="str">
        <f t="shared" si="5"/>
        <v>Stock normal</v>
      </c>
    </row>
    <row r="87" spans="2:14" thickBot="1" x14ac:dyDescent="0.4">
      <c r="B87" s="5"/>
      <c r="C87" s="48" t="str">
        <v>BUR080</v>
      </c>
      <c r="D87" s="48" t="str">
        <f>VLOOKUP(C87,ListeM[],2,0)</f>
        <v>REGLE</v>
      </c>
      <c r="E87" s="48" t="str">
        <f>VLOOKUP(C87,ListeM[],3,0)</f>
        <v>FOURNITURE</v>
      </c>
      <c r="F87" s="48" t="str">
        <f>VLOOKUP(C87,ListeM[],4,0)</f>
        <v>PIECE</v>
      </c>
      <c r="G87" s="48">
        <f>VLOOKUP(C87,ListeM[],5,0)</f>
        <v>30</v>
      </c>
      <c r="H87" s="48">
        <f>VLOOKUP(C87,ListeM[],6,0)</f>
        <v>200</v>
      </c>
      <c r="I87" s="48">
        <f>SUMIFS(ListeE[Quantité],ListeE[Référence],Inventaires!C87)</f>
        <v>0</v>
      </c>
      <c r="J87" s="48">
        <f>SUMIFS(ListeS[Quantité],ListeS[Référence],Inventaires!C87)</f>
        <v>0</v>
      </c>
      <c r="K87" s="48">
        <f t="shared" si="3"/>
        <v>200</v>
      </c>
      <c r="L87" s="58">
        <f>(SUMIF(ListeM[Référence],C87,ListeM[Total])+SUMIF(ListeE[Référence],C87,ListeE[Total]))/(H87+I87)</f>
        <v>200</v>
      </c>
      <c r="M87" s="58">
        <f t="shared" si="4"/>
        <v>40000</v>
      </c>
      <c r="N87" s="49" t="str">
        <f t="shared" si="5"/>
        <v>Stock normal</v>
      </c>
    </row>
    <row r="88" spans="2:14" thickBot="1" x14ac:dyDescent="0.4">
      <c r="B88" s="5"/>
      <c r="C88" s="48" t="str">
        <v>BTP081</v>
      </c>
      <c r="D88" s="48" t="str">
        <f>VLOOKUP(C88,ListeM[],2,0)</f>
        <v>CIMENT</v>
      </c>
      <c r="E88" s="48" t="str">
        <f>VLOOKUP(C88,ListeM[],3,0)</f>
        <v>CONSTRUCTION</v>
      </c>
      <c r="F88" s="48" t="str">
        <f>VLOOKUP(C88,ListeM[],4,0)</f>
        <v>SAC</v>
      </c>
      <c r="G88" s="48">
        <f>VLOOKUP(C88,ListeM[],5,0)</f>
        <v>20</v>
      </c>
      <c r="H88" s="48">
        <f>VLOOKUP(C88,ListeM[],6,0)</f>
        <v>200</v>
      </c>
      <c r="I88" s="48">
        <f>SUMIFS(ListeE[Quantité],ListeE[Référence],Inventaires!C88)</f>
        <v>0</v>
      </c>
      <c r="J88" s="48">
        <f>SUMIFS(ListeS[Quantité],ListeS[Référence],Inventaires!C88)</f>
        <v>0</v>
      </c>
      <c r="K88" s="48">
        <f t="shared" si="3"/>
        <v>200</v>
      </c>
      <c r="L88" s="58">
        <f>(SUMIF(ListeM[Référence],C88,ListeM[Total])+SUMIF(ListeE[Référence],C88,ListeE[Total]))/(H88+I88)</f>
        <v>6000</v>
      </c>
      <c r="M88" s="58">
        <f t="shared" si="4"/>
        <v>1200000</v>
      </c>
      <c r="N88" s="49" t="str">
        <f t="shared" si="5"/>
        <v>Stock normal</v>
      </c>
    </row>
    <row r="89" spans="2:14" thickBot="1" x14ac:dyDescent="0.4">
      <c r="B89" s="5"/>
      <c r="C89" s="48" t="str">
        <v>BTP082</v>
      </c>
      <c r="D89" s="48" t="str">
        <f>VLOOKUP(C89,ListeM[],2,0)</f>
        <v>SABLE</v>
      </c>
      <c r="E89" s="48" t="str">
        <f>VLOOKUP(C89,ListeM[],3,0)</f>
        <v>CONSTRUCTION</v>
      </c>
      <c r="F89" s="48" t="str">
        <f>VLOOKUP(C89,ListeM[],4,0)</f>
        <v>TONNE</v>
      </c>
      <c r="G89" s="48">
        <f>VLOOKUP(C89,ListeM[],5,0)</f>
        <v>10</v>
      </c>
      <c r="H89" s="48">
        <f>VLOOKUP(C89,ListeM[],6,0)</f>
        <v>100</v>
      </c>
      <c r="I89" s="48">
        <f>SUMIFS(ListeE[Quantité],ListeE[Référence],Inventaires!C89)</f>
        <v>0</v>
      </c>
      <c r="J89" s="48">
        <f>SUMIFS(ListeS[Quantité],ListeS[Référence],Inventaires!C89)</f>
        <v>0</v>
      </c>
      <c r="K89" s="48">
        <f t="shared" si="3"/>
        <v>100</v>
      </c>
      <c r="L89" s="58">
        <f>(SUMIF(ListeM[Référence],C89,ListeM[Total])+SUMIF(ListeE[Référence],C89,ListeE[Total]))/(H89+I89)</f>
        <v>15000</v>
      </c>
      <c r="M89" s="58">
        <f t="shared" si="4"/>
        <v>1500000</v>
      </c>
      <c r="N89" s="49" t="str">
        <f t="shared" si="5"/>
        <v>Stock normal</v>
      </c>
    </row>
    <row r="90" spans="2:14" thickBot="1" x14ac:dyDescent="0.4">
      <c r="B90" s="5"/>
      <c r="C90" s="48" t="str">
        <v>BTP083</v>
      </c>
      <c r="D90" s="48" t="str">
        <f>VLOOKUP(C90,ListeM[],2,0)</f>
        <v>GRAVIER</v>
      </c>
      <c r="E90" s="48" t="str">
        <f>VLOOKUP(C90,ListeM[],3,0)</f>
        <v>CONSTRUCTION</v>
      </c>
      <c r="F90" s="48" t="str">
        <f>VLOOKUP(C90,ListeM[],4,0)</f>
        <v>TONNE</v>
      </c>
      <c r="G90" s="48">
        <f>VLOOKUP(C90,ListeM[],5,0)</f>
        <v>10</v>
      </c>
      <c r="H90" s="48">
        <f>VLOOKUP(C90,ListeM[],6,0)</f>
        <v>90</v>
      </c>
      <c r="I90" s="48">
        <f>SUMIFS(ListeE[Quantité],ListeE[Référence],Inventaires!C90)</f>
        <v>0</v>
      </c>
      <c r="J90" s="48">
        <f>SUMIFS(ListeS[Quantité],ListeS[Référence],Inventaires!C90)</f>
        <v>0</v>
      </c>
      <c r="K90" s="48">
        <f t="shared" si="3"/>
        <v>90</v>
      </c>
      <c r="L90" s="58">
        <f>(SUMIF(ListeM[Référence],C90,ListeM[Total])+SUMIF(ListeE[Référence],C90,ListeE[Total]))/(H90+I90)</f>
        <v>18000</v>
      </c>
      <c r="M90" s="58">
        <f t="shared" si="4"/>
        <v>1620000</v>
      </c>
      <c r="N90" s="49" t="str">
        <f t="shared" si="5"/>
        <v>Stock normal</v>
      </c>
    </row>
    <row r="91" spans="2:14" thickBot="1" x14ac:dyDescent="0.4">
      <c r="B91" s="5"/>
      <c r="C91" s="48" t="str">
        <v>BTP084</v>
      </c>
      <c r="D91" s="48" t="str">
        <f>VLOOKUP(C91,ListeM[],2,0)</f>
        <v>FER A BETON</v>
      </c>
      <c r="E91" s="48" t="str">
        <f>VLOOKUP(C91,ListeM[],3,0)</f>
        <v>CONSTRUCTION</v>
      </c>
      <c r="F91" s="48" t="str">
        <f>VLOOKUP(C91,ListeM[],4,0)</f>
        <v>PIECE</v>
      </c>
      <c r="G91" s="48">
        <f>VLOOKUP(C91,ListeM[],5,0)</f>
        <v>20</v>
      </c>
      <c r="H91" s="48">
        <f>VLOOKUP(C91,ListeM[],6,0)</f>
        <v>150</v>
      </c>
      <c r="I91" s="48">
        <f>SUMIFS(ListeE[Quantité],ListeE[Référence],Inventaires!C91)</f>
        <v>0</v>
      </c>
      <c r="J91" s="48">
        <f>SUMIFS(ListeS[Quantité],ListeS[Référence],Inventaires!C91)</f>
        <v>0</v>
      </c>
      <c r="K91" s="48">
        <f t="shared" si="3"/>
        <v>150</v>
      </c>
      <c r="L91" s="58">
        <f>(SUMIF(ListeM[Référence],C91,ListeM[Total])+SUMIF(ListeE[Référence],C91,ListeE[Total]))/(H91+I91)</f>
        <v>5000</v>
      </c>
      <c r="M91" s="58">
        <f t="shared" si="4"/>
        <v>750000</v>
      </c>
      <c r="N91" s="49" t="str">
        <f t="shared" si="5"/>
        <v>Stock normal</v>
      </c>
    </row>
    <row r="92" spans="2:14" thickBot="1" x14ac:dyDescent="0.4">
      <c r="B92" s="5"/>
      <c r="C92" s="48" t="str">
        <v>BTP085</v>
      </c>
      <c r="D92" s="48" t="str">
        <f>VLOOKUP(C92,ListeM[],2,0)</f>
        <v>PEINTURE</v>
      </c>
      <c r="E92" s="48" t="str">
        <f>VLOOKUP(C92,ListeM[],3,0)</f>
        <v>CONSTRUCTION</v>
      </c>
      <c r="F92" s="48" t="str">
        <f>VLOOKUP(C92,ListeM[],4,0)</f>
        <v>BIDON</v>
      </c>
      <c r="G92" s="48">
        <f>VLOOKUP(C92,ListeM[],5,0)</f>
        <v>10</v>
      </c>
      <c r="H92" s="48">
        <f>VLOOKUP(C92,ListeM[],6,0)</f>
        <v>80</v>
      </c>
      <c r="I92" s="48">
        <f>SUMIFS(ListeE[Quantité],ListeE[Référence],Inventaires!C92)</f>
        <v>0</v>
      </c>
      <c r="J92" s="48">
        <f>SUMIFS(ListeS[Quantité],ListeS[Référence],Inventaires!C92)</f>
        <v>0</v>
      </c>
      <c r="K92" s="48">
        <f t="shared" si="3"/>
        <v>80</v>
      </c>
      <c r="L92" s="58">
        <f>(SUMIF(ListeM[Référence],C92,ListeM[Total])+SUMIF(ListeE[Référence],C92,ListeE[Total]))/(H92+I92)</f>
        <v>20000</v>
      </c>
      <c r="M92" s="58">
        <f t="shared" si="4"/>
        <v>1600000</v>
      </c>
      <c r="N92" s="49" t="str">
        <f t="shared" si="5"/>
        <v>Stock normal</v>
      </c>
    </row>
    <row r="93" spans="2:14" thickBot="1" x14ac:dyDescent="0.4">
      <c r="B93" s="5"/>
      <c r="C93" s="48" t="str">
        <v>BTP086</v>
      </c>
      <c r="D93" s="48" t="str">
        <f>VLOOKUP(C93,ListeM[],2,0)</f>
        <v>PINCEAU</v>
      </c>
      <c r="E93" s="48" t="str">
        <f>VLOOKUP(C93,ListeM[],3,0)</f>
        <v>CONSTRUCTION</v>
      </c>
      <c r="F93" s="48" t="str">
        <f>VLOOKUP(C93,ListeM[],4,0)</f>
        <v>PIECE</v>
      </c>
      <c r="G93" s="48">
        <f>VLOOKUP(C93,ListeM[],5,0)</f>
        <v>20</v>
      </c>
      <c r="H93" s="48">
        <f>VLOOKUP(C93,ListeM[],6,0)</f>
        <v>100</v>
      </c>
      <c r="I93" s="48">
        <f>SUMIFS(ListeE[Quantité],ListeE[Référence],Inventaires!C93)</f>
        <v>0</v>
      </c>
      <c r="J93" s="48">
        <f>SUMIFS(ListeS[Quantité],ListeS[Référence],Inventaires!C93)</f>
        <v>0</v>
      </c>
      <c r="K93" s="48">
        <f t="shared" si="3"/>
        <v>100</v>
      </c>
      <c r="L93" s="58">
        <f>(SUMIF(ListeM[Référence],C93,ListeM[Total])+SUMIF(ListeE[Référence],C93,ListeE[Total]))/(H93+I93)</f>
        <v>1500</v>
      </c>
      <c r="M93" s="58">
        <f t="shared" si="4"/>
        <v>150000</v>
      </c>
      <c r="N93" s="49" t="str">
        <f t="shared" si="5"/>
        <v>Stock normal</v>
      </c>
    </row>
    <row r="94" spans="2:14" thickBot="1" x14ac:dyDescent="0.4">
      <c r="B94" s="5"/>
      <c r="C94" s="48" t="str">
        <v>BTP087</v>
      </c>
      <c r="D94" s="48" t="str">
        <f>VLOOKUP(C94,ListeM[],2,0)</f>
        <v>MARTEAU</v>
      </c>
      <c r="E94" s="48" t="str">
        <f>VLOOKUP(C94,ListeM[],3,0)</f>
        <v>CONSTRUCTION</v>
      </c>
      <c r="F94" s="48" t="str">
        <f>VLOOKUP(C94,ListeM[],4,0)</f>
        <v>PIECE</v>
      </c>
      <c r="G94" s="48">
        <f>VLOOKUP(C94,ListeM[],5,0)</f>
        <v>10</v>
      </c>
      <c r="H94" s="48">
        <f>VLOOKUP(C94,ListeM[],6,0)</f>
        <v>50</v>
      </c>
      <c r="I94" s="48">
        <f>SUMIFS(ListeE[Quantité],ListeE[Référence],Inventaires!C94)</f>
        <v>0</v>
      </c>
      <c r="J94" s="48">
        <f>SUMIFS(ListeS[Quantité],ListeS[Référence],Inventaires!C94)</f>
        <v>0</v>
      </c>
      <c r="K94" s="48">
        <f t="shared" si="3"/>
        <v>50</v>
      </c>
      <c r="L94" s="58">
        <f>(SUMIF(ListeM[Référence],C94,ListeM[Total])+SUMIF(ListeE[Référence],C94,ListeE[Total]))/(H94+I94)</f>
        <v>3000</v>
      </c>
      <c r="M94" s="58">
        <f t="shared" si="4"/>
        <v>150000</v>
      </c>
      <c r="N94" s="49" t="str">
        <f t="shared" si="5"/>
        <v>Stock normal</v>
      </c>
    </row>
    <row r="95" spans="2:14" thickBot="1" x14ac:dyDescent="0.4">
      <c r="B95" s="5"/>
      <c r="C95" s="48" t="str">
        <v>BTP088</v>
      </c>
      <c r="D95" s="48" t="str">
        <f>VLOOKUP(C95,ListeM[],2,0)</f>
        <v>SCIE</v>
      </c>
      <c r="E95" s="48" t="str">
        <f>VLOOKUP(C95,ListeM[],3,0)</f>
        <v>CONSTRUCTION</v>
      </c>
      <c r="F95" s="48" t="str">
        <f>VLOOKUP(C95,ListeM[],4,0)</f>
        <v>PIECE</v>
      </c>
      <c r="G95" s="48">
        <f>VLOOKUP(C95,ListeM[],5,0)</f>
        <v>10</v>
      </c>
      <c r="H95" s="48">
        <f>VLOOKUP(C95,ListeM[],6,0)</f>
        <v>40</v>
      </c>
      <c r="I95" s="48">
        <f>SUMIFS(ListeE[Quantité],ListeE[Référence],Inventaires!C95)</f>
        <v>0</v>
      </c>
      <c r="J95" s="48">
        <f>SUMIFS(ListeS[Quantité],ListeS[Référence],Inventaires!C95)</f>
        <v>0</v>
      </c>
      <c r="K95" s="48">
        <f t="shared" si="3"/>
        <v>40</v>
      </c>
      <c r="L95" s="58">
        <f>(SUMIF(ListeM[Référence],C95,ListeM[Total])+SUMIF(ListeE[Référence],C95,ListeE[Total]))/(H95+I95)</f>
        <v>4000</v>
      </c>
      <c r="M95" s="58">
        <f t="shared" si="4"/>
        <v>160000</v>
      </c>
      <c r="N95" s="49" t="str">
        <f t="shared" si="5"/>
        <v>Stock normal</v>
      </c>
    </row>
    <row r="96" spans="2:14" thickBot="1" x14ac:dyDescent="0.4">
      <c r="B96" s="5"/>
      <c r="C96" s="48" t="str">
        <v>BTP089</v>
      </c>
      <c r="D96" s="48" t="str">
        <f>VLOOKUP(C96,ListeM[],2,0)</f>
        <v>CLOUS</v>
      </c>
      <c r="E96" s="48" t="str">
        <f>VLOOKUP(C96,ListeM[],3,0)</f>
        <v>CONSTRUCTION</v>
      </c>
      <c r="F96" s="48" t="str">
        <f>VLOOKUP(C96,ListeM[],4,0)</f>
        <v>KG</v>
      </c>
      <c r="G96" s="48">
        <f>VLOOKUP(C96,ListeM[],5,0)</f>
        <v>30</v>
      </c>
      <c r="H96" s="48">
        <f>VLOOKUP(C96,ListeM[],6,0)</f>
        <v>200</v>
      </c>
      <c r="I96" s="48">
        <f>SUMIFS(ListeE[Quantité],ListeE[Référence],Inventaires!C96)</f>
        <v>0</v>
      </c>
      <c r="J96" s="48">
        <f>SUMIFS(ListeS[Quantité],ListeS[Référence],Inventaires!C96)</f>
        <v>0</v>
      </c>
      <c r="K96" s="48">
        <f t="shared" si="3"/>
        <v>200</v>
      </c>
      <c r="L96" s="58">
        <f>(SUMIF(ListeM[Référence],C96,ListeM[Total])+SUMIF(ListeE[Référence],C96,ListeE[Total]))/(H96+I96)</f>
        <v>1000</v>
      </c>
      <c r="M96" s="58">
        <f t="shared" si="4"/>
        <v>200000</v>
      </c>
      <c r="N96" s="49" t="str">
        <f t="shared" si="5"/>
        <v>Stock normal</v>
      </c>
    </row>
    <row r="97" spans="2:14" thickBot="1" x14ac:dyDescent="0.4">
      <c r="B97" s="5"/>
      <c r="C97" s="48" t="str">
        <v>BTP090</v>
      </c>
      <c r="D97" s="48" t="str">
        <f>VLOOKUP(C97,ListeM[],2,0)</f>
        <v>TUYAU PVC</v>
      </c>
      <c r="E97" s="48" t="str">
        <f>VLOOKUP(C97,ListeM[],3,0)</f>
        <v>CONSTRUCTION</v>
      </c>
      <c r="F97" s="48" t="str">
        <f>VLOOKUP(C97,ListeM[],4,0)</f>
        <v>PIECE</v>
      </c>
      <c r="G97" s="48">
        <f>VLOOKUP(C97,ListeM[],5,0)</f>
        <v>20</v>
      </c>
      <c r="H97" s="48">
        <f>VLOOKUP(C97,ListeM[],6,0)</f>
        <v>150</v>
      </c>
      <c r="I97" s="48">
        <f>SUMIFS(ListeE[Quantité],ListeE[Référence],Inventaires!C97)</f>
        <v>0</v>
      </c>
      <c r="J97" s="48">
        <f>SUMIFS(ListeS[Quantité],ListeS[Référence],Inventaires!C97)</f>
        <v>0</v>
      </c>
      <c r="K97" s="48">
        <f t="shared" si="3"/>
        <v>150</v>
      </c>
      <c r="L97" s="58">
        <f>(SUMIF(ListeM[Référence],C97,ListeM[Total])+SUMIF(ListeE[Référence],C97,ListeE[Total]))/(H97+I97)</f>
        <v>2500</v>
      </c>
      <c r="M97" s="58">
        <f t="shared" si="4"/>
        <v>375000</v>
      </c>
      <c r="N97" s="49" t="str">
        <f t="shared" si="5"/>
        <v>Stock normal</v>
      </c>
    </row>
    <row r="98" spans="2:14" thickBot="1" x14ac:dyDescent="0.4">
      <c r="B98" s="5"/>
      <c r="C98" s="48" t="str">
        <v>AUT091</v>
      </c>
      <c r="D98" s="48" t="str">
        <f>VLOOKUP(C98,ListeM[],2,0)</f>
        <v>LAMPE LED</v>
      </c>
      <c r="E98" s="48" t="str">
        <f>VLOOKUP(C98,ListeM[],3,0)</f>
        <v>ELECTRONIQUE</v>
      </c>
      <c r="F98" s="48" t="str">
        <f>VLOOKUP(C98,ListeM[],4,0)</f>
        <v>PIECE</v>
      </c>
      <c r="G98" s="48">
        <f>VLOOKUP(C98,ListeM[],5,0)</f>
        <v>30</v>
      </c>
      <c r="H98" s="48">
        <f>VLOOKUP(C98,ListeM[],6,0)</f>
        <v>200</v>
      </c>
      <c r="I98" s="48">
        <f>SUMIFS(ListeE[Quantité],ListeE[Référence],Inventaires!C98)</f>
        <v>0</v>
      </c>
      <c r="J98" s="48">
        <f>SUMIFS(ListeS[Quantité],ListeS[Référence],Inventaires!C98)</f>
        <v>0</v>
      </c>
      <c r="K98" s="48">
        <f t="shared" si="3"/>
        <v>200</v>
      </c>
      <c r="L98" s="58">
        <f>(SUMIF(ListeM[Référence],C98,ListeM[Total])+SUMIF(ListeE[Référence],C98,ListeE[Total]))/(H98+I98)</f>
        <v>2000</v>
      </c>
      <c r="M98" s="58">
        <f t="shared" si="4"/>
        <v>400000</v>
      </c>
      <c r="N98" s="49" t="str">
        <f t="shared" si="5"/>
        <v>Stock normal</v>
      </c>
    </row>
    <row r="99" spans="2:14" thickBot="1" x14ac:dyDescent="0.4">
      <c r="B99" s="5"/>
      <c r="C99" s="48" t="str">
        <v>AUT092</v>
      </c>
      <c r="D99" s="48" t="str">
        <f>VLOOKUP(C99,ListeM[],2,0)</f>
        <v>PROJECTEUR</v>
      </c>
      <c r="E99" s="48" t="str">
        <f>VLOOKUP(C99,ListeM[],3,0)</f>
        <v>ELECTRONIQUE</v>
      </c>
      <c r="F99" s="48" t="str">
        <f>VLOOKUP(C99,ListeM[],4,0)</f>
        <v>PIECE</v>
      </c>
      <c r="G99" s="48">
        <f>VLOOKUP(C99,ListeM[],5,0)</f>
        <v>10</v>
      </c>
      <c r="H99" s="48">
        <f>VLOOKUP(C99,ListeM[],6,0)</f>
        <v>60</v>
      </c>
      <c r="I99" s="48">
        <f>SUMIFS(ListeE[Quantité],ListeE[Référence],Inventaires!C99)</f>
        <v>0</v>
      </c>
      <c r="J99" s="48">
        <f>SUMIFS(ListeS[Quantité],ListeS[Référence],Inventaires!C99)</f>
        <v>6</v>
      </c>
      <c r="K99" s="48">
        <f t="shared" si="3"/>
        <v>54</v>
      </c>
      <c r="L99" s="58">
        <f>(SUMIF(ListeM[Référence],C99,ListeM[Total])+SUMIF(ListeE[Référence],C99,ListeE[Total]))/(H99+I99)</f>
        <v>150000</v>
      </c>
      <c r="M99" s="58">
        <f t="shared" si="4"/>
        <v>8100000</v>
      </c>
      <c r="N99" s="49" t="str">
        <f t="shared" si="5"/>
        <v>Stock normal</v>
      </c>
    </row>
    <row r="100" spans="2:14" thickBot="1" x14ac:dyDescent="0.4">
      <c r="B100" s="5"/>
      <c r="C100" s="48" t="str">
        <v>AUT093</v>
      </c>
      <c r="D100" s="48" t="str">
        <f>VLOOKUP(C100,ListeM[],2,0)</f>
        <v>BATTERIE AUTO</v>
      </c>
      <c r="E100" s="48" t="str">
        <f>VLOOKUP(C100,ListeM[],3,0)</f>
        <v>AUTOMOBILE</v>
      </c>
      <c r="F100" s="48" t="str">
        <f>VLOOKUP(C100,ListeM[],4,0)</f>
        <v>PIECE</v>
      </c>
      <c r="G100" s="48">
        <f>VLOOKUP(C100,ListeM[],5,0)</f>
        <v>10</v>
      </c>
      <c r="H100" s="48">
        <f>VLOOKUP(C100,ListeM[],6,0)</f>
        <v>40</v>
      </c>
      <c r="I100" s="48">
        <f>SUMIFS(ListeE[Quantité],ListeE[Référence],Inventaires!C100)</f>
        <v>0</v>
      </c>
      <c r="J100" s="48">
        <f>SUMIFS(ListeS[Quantité],ListeS[Référence],Inventaires!C100)</f>
        <v>0</v>
      </c>
      <c r="K100" s="48">
        <f t="shared" si="3"/>
        <v>40</v>
      </c>
      <c r="L100" s="58">
        <f>(SUMIF(ListeM[Référence],C100,ListeM[Total])+SUMIF(ListeE[Référence],C100,ListeE[Total]))/(H100+I100)</f>
        <v>500000</v>
      </c>
      <c r="M100" s="58">
        <f t="shared" si="4"/>
        <v>20000000</v>
      </c>
      <c r="N100" s="49" t="str">
        <f t="shared" si="5"/>
        <v>Stock normal</v>
      </c>
    </row>
    <row r="101" spans="2:14" thickBot="1" x14ac:dyDescent="0.4">
      <c r="B101" s="5"/>
      <c r="C101" s="48" t="str">
        <v>AUT094</v>
      </c>
      <c r="D101" s="48" t="str">
        <f>VLOOKUP(C101,ListeM[],2,0)</f>
        <v>HUILE MOTEUR</v>
      </c>
      <c r="E101" s="48" t="str">
        <f>VLOOKUP(C101,ListeM[],3,0)</f>
        <v>AUTOMOBILE</v>
      </c>
      <c r="F101" s="48" t="str">
        <f>VLOOKUP(C101,ListeM[],4,0)</f>
        <v>BIDON</v>
      </c>
      <c r="G101" s="48">
        <f>VLOOKUP(C101,ListeM[],5,0)</f>
        <v>10</v>
      </c>
      <c r="H101" s="48">
        <f>VLOOKUP(C101,ListeM[],6,0)</f>
        <v>50</v>
      </c>
      <c r="I101" s="48">
        <f>SUMIFS(ListeE[Quantité],ListeE[Référence],Inventaires!C101)</f>
        <v>0</v>
      </c>
      <c r="J101" s="48">
        <f>SUMIFS(ListeS[Quantité],ListeS[Référence],Inventaires!C101)</f>
        <v>0</v>
      </c>
      <c r="K101" s="48">
        <f t="shared" si="3"/>
        <v>50</v>
      </c>
      <c r="L101" s="58">
        <f>(SUMIF(ListeM[Référence],C101,ListeM[Total])+SUMIF(ListeE[Référence],C101,ListeE[Total]))/(H101+I101)</f>
        <v>10000</v>
      </c>
      <c r="M101" s="58">
        <f t="shared" si="4"/>
        <v>500000</v>
      </c>
      <c r="N101" s="49" t="str">
        <f t="shared" si="5"/>
        <v>Stock normal</v>
      </c>
    </row>
    <row r="102" spans="2:14" thickBot="1" x14ac:dyDescent="0.4">
      <c r="B102" s="5"/>
      <c r="C102" s="48" t="str">
        <v>AUT095</v>
      </c>
      <c r="D102" s="48" t="str">
        <f>VLOOKUP(C102,ListeM[],2,0)</f>
        <v>PNEU</v>
      </c>
      <c r="E102" s="48" t="str">
        <f>VLOOKUP(C102,ListeM[],3,0)</f>
        <v>AUTOMOBILE</v>
      </c>
      <c r="F102" s="48" t="str">
        <f>VLOOKUP(C102,ListeM[],4,0)</f>
        <v>PIECE</v>
      </c>
      <c r="G102" s="48">
        <f>VLOOKUP(C102,ListeM[],5,0)</f>
        <v>10</v>
      </c>
      <c r="H102" s="48">
        <f>VLOOKUP(C102,ListeM[],6,0)</f>
        <v>60</v>
      </c>
      <c r="I102" s="48">
        <f>SUMIFS(ListeE[Quantité],ListeE[Référence],Inventaires!C102)</f>
        <v>0</v>
      </c>
      <c r="J102" s="48">
        <f>SUMIFS(ListeS[Quantité],ListeS[Référence],Inventaires!C102)</f>
        <v>0</v>
      </c>
      <c r="K102" s="48">
        <f t="shared" si="3"/>
        <v>60</v>
      </c>
      <c r="L102" s="58">
        <f>(SUMIF(ListeM[Référence],C102,ListeM[Total])+SUMIF(ListeE[Référence],C102,ListeE[Total]))/(H102+I102)</f>
        <v>35000</v>
      </c>
      <c r="M102" s="58">
        <f t="shared" si="4"/>
        <v>2100000</v>
      </c>
      <c r="N102" s="49" t="str">
        <f t="shared" si="5"/>
        <v>Stock normal</v>
      </c>
    </row>
    <row r="103" spans="2:14" thickBot="1" x14ac:dyDescent="0.4">
      <c r="B103" s="5"/>
      <c r="C103" s="48" t="str">
        <v>AUT096</v>
      </c>
      <c r="D103" s="48" t="str">
        <f>VLOOKUP(C103,ListeM[],2,0)</f>
        <v>FILTRE A HUILE</v>
      </c>
      <c r="E103" s="48" t="str">
        <f>VLOOKUP(C103,ListeM[],3,0)</f>
        <v>AUTOMOBILE</v>
      </c>
      <c r="F103" s="48" t="str">
        <f>VLOOKUP(C103,ListeM[],4,0)</f>
        <v>PIECE</v>
      </c>
      <c r="G103" s="48">
        <f>VLOOKUP(C103,ListeM[],5,0)</f>
        <v>20</v>
      </c>
      <c r="H103" s="48">
        <f>VLOOKUP(C103,ListeM[],6,0)</f>
        <v>100</v>
      </c>
      <c r="I103" s="48">
        <f>SUMIFS(ListeE[Quantité],ListeE[Référence],Inventaires!C103)</f>
        <v>0</v>
      </c>
      <c r="J103" s="48">
        <f>SUMIFS(ListeS[Quantité],ListeS[Référence],Inventaires!C103)</f>
        <v>0</v>
      </c>
      <c r="K103" s="48">
        <f t="shared" si="3"/>
        <v>100</v>
      </c>
      <c r="L103" s="58">
        <f>(SUMIF(ListeM[Référence],C103,ListeM[Total])+SUMIF(ListeE[Référence],C103,ListeE[Total]))/(H103+I103)</f>
        <v>5000</v>
      </c>
      <c r="M103" s="58">
        <f t="shared" si="4"/>
        <v>500000</v>
      </c>
      <c r="N103" s="49" t="str">
        <f t="shared" si="5"/>
        <v>Stock normal</v>
      </c>
    </row>
    <row r="104" spans="2:14" thickBot="1" x14ac:dyDescent="0.4">
      <c r="B104" s="5"/>
      <c r="C104" s="48" t="str">
        <v>AUT097</v>
      </c>
      <c r="D104" s="48" t="str">
        <f>VLOOKUP(C104,ListeM[],2,0)</f>
        <v>FILTRE A AIR</v>
      </c>
      <c r="E104" s="48" t="str">
        <f>VLOOKUP(C104,ListeM[],3,0)</f>
        <v>AUTOMOBILE</v>
      </c>
      <c r="F104" s="48" t="str">
        <f>VLOOKUP(C104,ListeM[],4,0)</f>
        <v>PIECE</v>
      </c>
      <c r="G104" s="48">
        <f>VLOOKUP(C104,ListeM[],5,0)</f>
        <v>20</v>
      </c>
      <c r="H104" s="48">
        <f>VLOOKUP(C104,ListeM[],6,0)</f>
        <v>90</v>
      </c>
      <c r="I104" s="48">
        <f>SUMIFS(ListeE[Quantité],ListeE[Référence],Inventaires!C104)</f>
        <v>0</v>
      </c>
      <c r="J104" s="48">
        <f>SUMIFS(ListeS[Quantité],ListeS[Référence],Inventaires!C104)</f>
        <v>0</v>
      </c>
      <c r="K104" s="48">
        <f t="shared" si="3"/>
        <v>90</v>
      </c>
      <c r="L104" s="58">
        <f>(SUMIF(ListeM[Référence],C104,ListeM[Total])+SUMIF(ListeE[Référence],C104,ListeE[Total]))/(H104+I104)</f>
        <v>4000</v>
      </c>
      <c r="M104" s="58">
        <f t="shared" si="4"/>
        <v>360000</v>
      </c>
      <c r="N104" s="49" t="str">
        <f t="shared" si="5"/>
        <v>Stock normal</v>
      </c>
    </row>
    <row r="105" spans="2:14" thickBot="1" x14ac:dyDescent="0.4">
      <c r="B105" s="5"/>
      <c r="C105" s="48" t="str">
        <v>AUT098</v>
      </c>
      <c r="D105" s="48" t="str">
        <f>VLOOKUP(C105,ListeM[],2,0)</f>
        <v>BOUGIE</v>
      </c>
      <c r="E105" s="48" t="str">
        <f>VLOOKUP(C105,ListeM[],3,0)</f>
        <v>AUTOMOBILE</v>
      </c>
      <c r="F105" s="48" t="str">
        <f>VLOOKUP(C105,ListeM[],4,0)</f>
        <v>PIECE</v>
      </c>
      <c r="G105" s="48">
        <f>VLOOKUP(C105,ListeM[],5,0)</f>
        <v>30</v>
      </c>
      <c r="H105" s="48">
        <f>VLOOKUP(C105,ListeM[],6,0)</f>
        <v>120</v>
      </c>
      <c r="I105" s="48">
        <f>SUMIFS(ListeE[Quantité],ListeE[Référence],Inventaires!C105)</f>
        <v>0</v>
      </c>
      <c r="J105" s="48">
        <f>SUMIFS(ListeS[Quantité],ListeS[Référence],Inventaires!C105)</f>
        <v>0</v>
      </c>
      <c r="K105" s="48">
        <f t="shared" si="3"/>
        <v>120</v>
      </c>
      <c r="L105" s="58">
        <f>(SUMIF(ListeM[Référence],C105,ListeM[Total])+SUMIF(ListeE[Référence],C105,ListeE[Total]))/(H105+I105)</f>
        <v>2000</v>
      </c>
      <c r="M105" s="58">
        <f t="shared" si="4"/>
        <v>240000</v>
      </c>
      <c r="N105" s="49" t="str">
        <f t="shared" si="5"/>
        <v>Stock normal</v>
      </c>
    </row>
    <row r="106" spans="2:14" thickBot="1" x14ac:dyDescent="0.4">
      <c r="B106" s="5"/>
      <c r="C106" s="48" t="str">
        <v>AUT099</v>
      </c>
      <c r="D106" s="48" t="str">
        <f>VLOOKUP(C106,ListeM[],2,0)</f>
        <v>RADIATEUR</v>
      </c>
      <c r="E106" s="48" t="str">
        <f>VLOOKUP(C106,ListeM[],3,0)</f>
        <v>AUTOMOBILE</v>
      </c>
      <c r="F106" s="48" t="str">
        <f>VLOOKUP(C106,ListeM[],4,0)</f>
        <v>PIECE</v>
      </c>
      <c r="G106" s="48">
        <f>VLOOKUP(C106,ListeM[],5,0)</f>
        <v>5</v>
      </c>
      <c r="H106" s="48">
        <f>VLOOKUP(C106,ListeM[],6,0)</f>
        <v>20</v>
      </c>
      <c r="I106" s="48">
        <f>SUMIFS(ListeE[Quantité],ListeE[Référence],Inventaires!C106)</f>
        <v>0</v>
      </c>
      <c r="J106" s="48">
        <f>SUMIFS(ListeS[Quantité],ListeS[Référence],Inventaires!C106)</f>
        <v>2</v>
      </c>
      <c r="K106" s="48">
        <f t="shared" si="3"/>
        <v>18</v>
      </c>
      <c r="L106" s="58">
        <f>(SUMIF(ListeM[Référence],C106,ListeM[Total])+SUMIF(ListeE[Référence],C106,ListeE[Total]))/(H106+I106)</f>
        <v>80000</v>
      </c>
      <c r="M106" s="58">
        <f t="shared" si="4"/>
        <v>1440000</v>
      </c>
      <c r="N106" s="49" t="str">
        <f t="shared" si="5"/>
        <v>Stock normal</v>
      </c>
    </row>
    <row r="107" spans="2:14" thickBot="1" x14ac:dyDescent="0.4">
      <c r="B107" s="5"/>
      <c r="C107" s="48" t="str">
        <v>AUT100</v>
      </c>
      <c r="D107" s="48" t="str">
        <f>VLOOKUP(C107,ListeM[],2,0)</f>
        <v>ALTERNATEUR</v>
      </c>
      <c r="E107" s="48" t="str">
        <f>VLOOKUP(C107,ListeM[],3,0)</f>
        <v>AUTOMOBILE</v>
      </c>
      <c r="F107" s="48" t="str">
        <f>VLOOKUP(C107,ListeM[],4,0)</f>
        <v>PIECE</v>
      </c>
      <c r="G107" s="48">
        <f>VLOOKUP(C107,ListeM[],5,0)</f>
        <v>5</v>
      </c>
      <c r="H107" s="48">
        <f>VLOOKUP(C107,ListeM[],6,0)</f>
        <v>15</v>
      </c>
      <c r="I107" s="48">
        <f>SUMIFS(ListeE[Quantité],ListeE[Référence],Inventaires!C107)</f>
        <v>0</v>
      </c>
      <c r="J107" s="48">
        <f>SUMIFS(ListeS[Quantité],ListeS[Référence],Inventaires!C107)</f>
        <v>0</v>
      </c>
      <c r="K107" s="48">
        <f t="shared" si="3"/>
        <v>15</v>
      </c>
      <c r="L107" s="58">
        <f>(SUMIF(ListeM[Référence],C107,ListeM[Total])+SUMIF(ListeE[Référence],C107,ListeE[Total]))/(H107+I107)</f>
        <v>90000</v>
      </c>
      <c r="M107" s="58">
        <f t="shared" si="4"/>
        <v>1350000</v>
      </c>
      <c r="N107" s="49" t="str">
        <f t="shared" si="5"/>
        <v>Stock normal</v>
      </c>
    </row>
    <row r="108" spans="2:14" thickBot="1" x14ac:dyDescent="0.4">
      <c r="B108" s="5"/>
      <c r="G108" s="48"/>
      <c r="H108" s="48"/>
      <c r="I108" s="48"/>
      <c r="K108" s="48"/>
      <c r="L108" s="58"/>
      <c r="M108" s="48"/>
    </row>
    <row r="109" spans="2:14" thickBot="1" x14ac:dyDescent="0.4">
      <c r="B109" s="5"/>
      <c r="G109" s="48"/>
      <c r="H109" s="48"/>
      <c r="I109" s="48"/>
      <c r="K109" s="48"/>
      <c r="L109" s="58"/>
      <c r="M109" s="48"/>
    </row>
    <row r="110" spans="2:14" thickBot="1" x14ac:dyDescent="0.4">
      <c r="B110" s="5"/>
      <c r="G110" s="48"/>
      <c r="H110" s="48"/>
      <c r="I110" s="48"/>
      <c r="K110" s="48"/>
      <c r="L110" s="58"/>
      <c r="M110" s="48"/>
    </row>
    <row r="111" spans="2:14" thickBot="1" x14ac:dyDescent="0.4">
      <c r="B111" s="5"/>
      <c r="G111" s="48"/>
      <c r="H111" s="48"/>
      <c r="I111" s="48"/>
      <c r="K111" s="48"/>
      <c r="L111" s="58"/>
      <c r="M111" s="48"/>
    </row>
    <row r="112" spans="2:14" thickBot="1" x14ac:dyDescent="0.4">
      <c r="B112" s="5"/>
      <c r="G112" s="48"/>
      <c r="H112" s="48"/>
      <c r="I112" s="48"/>
      <c r="K112" s="48"/>
      <c r="L112" s="58"/>
      <c r="M112" s="48"/>
    </row>
    <row r="113" spans="2:13" thickBot="1" x14ac:dyDescent="0.4">
      <c r="B113" s="5"/>
      <c r="G113" s="48"/>
      <c r="H113" s="48"/>
      <c r="I113" s="48"/>
      <c r="K113" s="48"/>
      <c r="L113" s="58"/>
      <c r="M113" s="48"/>
    </row>
    <row r="114" spans="2:13" thickBot="1" x14ac:dyDescent="0.4">
      <c r="B114" s="5"/>
      <c r="G114" s="48"/>
      <c r="H114" s="48"/>
      <c r="I114" s="48"/>
      <c r="K114" s="48"/>
      <c r="L114" s="58"/>
      <c r="M114" s="48"/>
    </row>
    <row r="115" spans="2:13" thickBot="1" x14ac:dyDescent="0.4">
      <c r="B115" s="5"/>
      <c r="G115" s="48"/>
      <c r="H115" s="48"/>
      <c r="I115" s="48"/>
      <c r="K115" s="48"/>
      <c r="L115" s="58"/>
      <c r="M115" s="48"/>
    </row>
    <row r="116" spans="2:13" thickBot="1" x14ac:dyDescent="0.4">
      <c r="B116" s="5"/>
      <c r="G116" s="48"/>
      <c r="H116" s="48"/>
      <c r="I116" s="48"/>
      <c r="K116" s="48"/>
      <c r="L116" s="58"/>
      <c r="M116" s="48"/>
    </row>
    <row r="117" spans="2:13" thickBot="1" x14ac:dyDescent="0.4">
      <c r="B117" s="5"/>
      <c r="G117" s="48"/>
      <c r="H117" s="48"/>
      <c r="I117" s="48"/>
      <c r="K117" s="48"/>
      <c r="L117" s="58"/>
      <c r="M117" s="48"/>
    </row>
    <row r="118" spans="2:13" thickBot="1" x14ac:dyDescent="0.4">
      <c r="B118" s="5"/>
      <c r="G118" s="48"/>
      <c r="H118" s="48"/>
      <c r="I118" s="48"/>
      <c r="K118" s="48"/>
      <c r="L118" s="58"/>
      <c r="M118" s="48"/>
    </row>
    <row r="119" spans="2:13" thickBot="1" x14ac:dyDescent="0.4">
      <c r="B119" s="5"/>
      <c r="G119" s="48"/>
      <c r="H119" s="48"/>
      <c r="I119" s="48"/>
      <c r="K119" s="48"/>
      <c r="L119" s="58"/>
      <c r="M119" s="48"/>
    </row>
    <row r="120" spans="2:13" thickBot="1" x14ac:dyDescent="0.4">
      <c r="B120" s="5"/>
      <c r="G120" s="48"/>
      <c r="H120" s="48"/>
      <c r="I120" s="48"/>
      <c r="K120" s="48"/>
      <c r="L120" s="58"/>
      <c r="M120" s="48"/>
    </row>
    <row r="121" spans="2:13" thickBot="1" x14ac:dyDescent="0.4">
      <c r="B121" s="5"/>
      <c r="G121" s="48"/>
      <c r="H121" s="48"/>
      <c r="I121" s="48"/>
      <c r="K121" s="48"/>
      <c r="L121" s="58"/>
      <c r="M121" s="48"/>
    </row>
    <row r="122" spans="2:13" thickBot="1" x14ac:dyDescent="0.4">
      <c r="B122" s="5"/>
      <c r="G122" s="48"/>
      <c r="H122" s="48"/>
      <c r="I122" s="48"/>
      <c r="K122" s="48"/>
      <c r="L122" s="58"/>
      <c r="M122" s="48"/>
    </row>
    <row r="123" spans="2:13" thickBot="1" x14ac:dyDescent="0.4">
      <c r="B123" s="5"/>
      <c r="G123" s="48"/>
      <c r="H123" s="48"/>
      <c r="I123" s="48"/>
      <c r="K123" s="48"/>
      <c r="L123" s="58"/>
      <c r="M123" s="48"/>
    </row>
    <row r="124" spans="2:13" thickBot="1" x14ac:dyDescent="0.4">
      <c r="B124" s="5"/>
      <c r="G124" s="48"/>
      <c r="H124" s="48"/>
      <c r="I124" s="48"/>
      <c r="K124" s="48"/>
      <c r="L124" s="58"/>
      <c r="M124" s="48"/>
    </row>
    <row r="125" spans="2:13" thickBot="1" x14ac:dyDescent="0.4">
      <c r="B125" s="5"/>
      <c r="G125" s="48"/>
      <c r="H125" s="48"/>
      <c r="I125" s="48"/>
      <c r="K125" s="48"/>
      <c r="L125" s="58"/>
      <c r="M125" s="48"/>
    </row>
    <row r="126" spans="2:13" thickBot="1" x14ac:dyDescent="0.4">
      <c r="B126" s="5"/>
      <c r="G126" s="48"/>
      <c r="H126" s="48"/>
      <c r="I126" s="48"/>
      <c r="K126" s="48"/>
      <c r="L126" s="58"/>
      <c r="M126" s="48"/>
    </row>
    <row r="127" spans="2:13" thickBot="1" x14ac:dyDescent="0.4">
      <c r="B127" s="5"/>
      <c r="G127" s="48"/>
      <c r="H127" s="48"/>
      <c r="I127" s="48"/>
      <c r="K127" s="48"/>
      <c r="L127" s="58"/>
      <c r="M127" s="48"/>
    </row>
    <row r="128" spans="2:13" thickBot="1" x14ac:dyDescent="0.4">
      <c r="B128" s="5"/>
      <c r="G128" s="48"/>
      <c r="H128" s="48"/>
      <c r="I128" s="48"/>
      <c r="K128" s="48"/>
      <c r="L128" s="58"/>
      <c r="M128" s="48"/>
    </row>
    <row r="129" spans="2:14" thickBot="1" x14ac:dyDescent="0.4">
      <c r="B129" s="45"/>
      <c r="J129" s="50"/>
      <c r="K129" s="51"/>
      <c r="L129" s="59"/>
      <c r="M129" s="52"/>
      <c r="N129" s="61"/>
    </row>
    <row r="130" spans="2:14" thickBot="1" x14ac:dyDescent="0.4">
      <c r="B130" s="45"/>
      <c r="J130" s="50"/>
      <c r="K130" s="51"/>
      <c r="L130" s="59"/>
      <c r="M130" s="52"/>
      <c r="N130" s="61"/>
    </row>
    <row r="131" spans="2:14" thickBot="1" x14ac:dyDescent="0.4">
      <c r="B131" s="45"/>
      <c r="J131" s="50"/>
      <c r="K131" s="51"/>
      <c r="L131" s="59"/>
      <c r="M131" s="52"/>
      <c r="N131" s="61"/>
    </row>
    <row r="132" spans="2:14" thickBot="1" x14ac:dyDescent="0.4">
      <c r="B132" s="45"/>
      <c r="J132" s="50"/>
      <c r="K132" s="51"/>
      <c r="L132" s="59"/>
      <c r="M132" s="52"/>
      <c r="N132" s="61"/>
    </row>
    <row r="133" spans="2:14" thickBot="1" x14ac:dyDescent="0.4">
      <c r="B133" s="45"/>
      <c r="J133" s="50"/>
      <c r="K133" s="51"/>
      <c r="L133" s="59"/>
      <c r="M133" s="52"/>
      <c r="N133" s="61"/>
    </row>
    <row r="134" spans="2:14" thickBot="1" x14ac:dyDescent="0.4">
      <c r="B134" s="45"/>
      <c r="J134" s="50"/>
      <c r="K134" s="51"/>
      <c r="L134" s="59"/>
      <c r="M134" s="52"/>
      <c r="N134" s="61"/>
    </row>
    <row r="135" spans="2:14" thickBot="1" x14ac:dyDescent="0.4">
      <c r="B135" s="45"/>
      <c r="J135" s="50"/>
      <c r="K135" s="51"/>
      <c r="L135" s="59"/>
      <c r="M135" s="52"/>
      <c r="N135" s="61"/>
    </row>
    <row r="136" spans="2:14" thickBot="1" x14ac:dyDescent="0.4">
      <c r="B136" s="45"/>
      <c r="J136" s="50"/>
      <c r="K136" s="51"/>
      <c r="L136" s="59"/>
      <c r="M136" s="52"/>
      <c r="N136" s="61"/>
    </row>
    <row r="137" spans="2:14" thickBot="1" x14ac:dyDescent="0.4">
      <c r="B137" s="45"/>
      <c r="J137" s="50"/>
      <c r="K137" s="51"/>
      <c r="L137" s="59"/>
      <c r="M137" s="52"/>
      <c r="N137" s="61"/>
    </row>
    <row r="138" spans="2:14" thickBot="1" x14ac:dyDescent="0.4">
      <c r="B138" s="5"/>
    </row>
    <row r="139" spans="2:14" thickBot="1" x14ac:dyDescent="0.4">
      <c r="B139" s="5"/>
    </row>
  </sheetData>
  <autoFilter ref="C5:N107" xr:uid="{50D4E2F1-53AA-426F-BA64-784D1EA3F738}"/>
  <mergeCells count="1">
    <mergeCell ref="C3:D3"/>
  </mergeCells>
  <conditionalFormatting sqref="N1:N1048576">
    <cfRule type="cellIs" dxfId="54" priority="1" operator="equal">
      <formula>"En rupture"</formula>
    </cfRule>
    <cfRule type="cellIs" dxfId="53" priority="2" operator="equal">
      <formula>"Stock faible"</formula>
    </cfRule>
    <cfRule type="cellIs" dxfId="52" priority="3" operator="equal">
      <formula>"Stock normal"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F0BD7FB0-10CD-4385-BDF0-DA9B77464BBE}">
  <ds:schemaRefs/>
</ds:datastoreItem>
</file>

<file path=customXml/itemProps2.xml><?xml version="1.0" encoding="utf-8"?>
<ds:datastoreItem xmlns:ds="http://schemas.openxmlformats.org/officeDocument/2006/customXml" ds:itemID="{E3289C26-0EE4-46DA-A646-704DC85F2BFB}">
  <ds:schemaRefs/>
</ds:datastoreItem>
</file>

<file path=customXml/itemProps3.xml><?xml version="1.0" encoding="utf-8"?>
<ds:datastoreItem xmlns:ds="http://schemas.openxmlformats.org/officeDocument/2006/customXml" ds:itemID="{BA95943A-02DF-440D-A14B-EF9BB738ED6B}">
  <ds:schemaRefs/>
</ds:datastoreItem>
</file>

<file path=customXml/itemProps4.xml><?xml version="1.0" encoding="utf-8"?>
<ds:datastoreItem xmlns:ds="http://schemas.openxmlformats.org/officeDocument/2006/customXml" ds:itemID="{3BBD36C2-41EF-4805-8DEB-F69C108AF5BF}">
  <ds:schemaRefs/>
</ds:datastoreItem>
</file>

<file path=customXml/itemProps5.xml><?xml version="1.0" encoding="utf-8"?>
<ds:datastoreItem xmlns:ds="http://schemas.openxmlformats.org/officeDocument/2006/customXml" ds:itemID="{6702F9EA-7381-4365-9E06-D43883405558}">
  <ds:schemaRefs/>
</ds:datastoreItem>
</file>

<file path=customXml/itemProps6.xml><?xml version="1.0" encoding="utf-8"?>
<ds:datastoreItem xmlns:ds="http://schemas.openxmlformats.org/officeDocument/2006/customXml" ds:itemID="{D2A2C72E-1953-4787-BC4E-F3B3497F1630}">
  <ds:schemaRefs/>
</ds:datastoreItem>
</file>

<file path=customXml/itemProps7.xml><?xml version="1.0" encoding="utf-8"?>
<ds:datastoreItem xmlns:ds="http://schemas.openxmlformats.org/officeDocument/2006/customXml" ds:itemID="{C622F6DD-D452-4F74-8E83-097711F119A4}">
  <ds:schemaRefs/>
</ds:datastoreItem>
</file>

<file path=customXml/itemProps8.xml><?xml version="1.0" encoding="utf-8"?>
<ds:datastoreItem xmlns:ds="http://schemas.openxmlformats.org/officeDocument/2006/customXml" ds:itemID="{044986EF-AE8D-460E-B46A-B3E7A37D9EA0}">
  <ds:schemaRefs/>
</ds:datastoreItem>
</file>

<file path=customXml/itemProps9.xml><?xml version="1.0" encoding="utf-8"?>
<ds:datastoreItem xmlns:ds="http://schemas.openxmlformats.org/officeDocument/2006/customXml" ds:itemID="{F09722B7-CBBC-448F-8560-44C5938ACC76}">
  <ds:schemaRefs/>
</ds:datastoreItem>
</file>

<file path=customXml/itemProps10.xml><?xml version="1.0" encoding="utf-8"?>
<ds:datastoreItem xmlns:ds="http://schemas.openxmlformats.org/officeDocument/2006/customXml" ds:itemID="{B8A79C02-88C1-473B-9FF2-0994DA6FD77F}">
  <ds:schemaRefs/>
</ds:datastoreItem>
</file>

<file path=customXml/itemProps11.xml><?xml version="1.0" encoding="utf-8"?>
<ds:datastoreItem xmlns:ds="http://schemas.openxmlformats.org/officeDocument/2006/customXml" ds:itemID="{CABCE038-AE72-40CB-89F9-771E76B76BB3}">
  <ds:schemaRefs/>
</ds:datastoreItem>
</file>

<file path=customXml/itemProps12.xml><?xml version="1.0" encoding="utf-8"?>
<ds:datastoreItem xmlns:ds="http://schemas.openxmlformats.org/officeDocument/2006/customXml" ds:itemID="{1E3DC85C-C121-4EC4-A66C-208BD7464023}">
  <ds:schemaRefs/>
</ds:datastoreItem>
</file>

<file path=customXml/itemProps13.xml><?xml version="1.0" encoding="utf-8"?>
<ds:datastoreItem xmlns:ds="http://schemas.openxmlformats.org/officeDocument/2006/customXml" ds:itemID="{7F5E10FD-95DE-4885-BEB4-864EDEAC7106}">
  <ds:schemaRefs/>
</ds:datastoreItem>
</file>

<file path=customXml/itemProps14.xml><?xml version="1.0" encoding="utf-8"?>
<ds:datastoreItem xmlns:ds="http://schemas.openxmlformats.org/officeDocument/2006/customXml" ds:itemID="{F9CC7E77-7584-49EC-8927-49A8D0B5A4F0}">
  <ds:schemaRefs/>
</ds:datastoreItem>
</file>

<file path=customXml/itemProps15.xml><?xml version="1.0" encoding="utf-8"?>
<ds:datastoreItem xmlns:ds="http://schemas.openxmlformats.org/officeDocument/2006/customXml" ds:itemID="{95B1F002-4436-467A-86C9-EB93FC29F9B0}">
  <ds:schemaRefs/>
</ds:datastoreItem>
</file>

<file path=customXml/itemProps16.xml><?xml version="1.0" encoding="utf-8"?>
<ds:datastoreItem xmlns:ds="http://schemas.openxmlformats.org/officeDocument/2006/customXml" ds:itemID="{99E1941E-6669-4F67-8749-28842BCC34B6}">
  <ds:schemaRefs/>
</ds:datastoreItem>
</file>

<file path=customXml/itemProps17.xml><?xml version="1.0" encoding="utf-8"?>
<ds:datastoreItem xmlns:ds="http://schemas.openxmlformats.org/officeDocument/2006/customXml" ds:itemID="{2EF3170B-3EF5-41EC-803A-2674CA2ABF19}">
  <ds:schemaRefs/>
</ds:datastoreItem>
</file>

<file path=customXml/itemProps18.xml><?xml version="1.0" encoding="utf-8"?>
<ds:datastoreItem xmlns:ds="http://schemas.openxmlformats.org/officeDocument/2006/customXml" ds:itemID="{E900476E-EFB9-4ACB-A52B-548AD348D3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Tableau de bord </vt:lpstr>
      <vt:lpstr>Traitements</vt:lpstr>
      <vt:lpstr>Opérations</vt:lpstr>
      <vt:lpstr>Sorties</vt:lpstr>
      <vt:lpstr>Marchandises</vt:lpstr>
      <vt:lpstr>Entrées</vt:lpstr>
      <vt:lpstr>Inventaires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DAP</dc:creator>
  <cp:lastModifiedBy>DAP</cp:lastModifiedBy>
  <dcterms:created xsi:type="dcterms:W3CDTF">2026-03-19T00:55:59Z</dcterms:created>
  <dcterms:modified xsi:type="dcterms:W3CDTF">2026-03-31T14:03:05Z</dcterms:modified>
</cp:coreProperties>
</file>